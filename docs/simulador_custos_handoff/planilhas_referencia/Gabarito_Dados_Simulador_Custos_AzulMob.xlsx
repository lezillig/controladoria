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1_Frota" sheetId="2" state="visible" r:id="rId4"/>
    <sheet name="2_MaoDeObra" sheetId="3" state="visible" r:id="rId5"/>
    <sheet name="3_Jornada" sheetId="4" state="visible" r:id="rId6"/>
    <sheet name="4_Indiretos" sheetId="5" state="visible" r:id="rId7"/>
    <sheet name="5_Tributos_Financeiro" sheetId="6" state="visible" r:id="rId8"/>
    <sheet name="6_Insumos" sheetId="7" state="visible" r:id="rId9"/>
    <sheet name="7_Pedagios_Rotas" sheetId="8" state="visible" r:id="rId10"/>
    <sheet name="8_Regras_Azul" sheetId="9" state="visible" r:id="rId11"/>
    <sheet name="9_Historico_Contratos" sheetId="10" state="visible" r:id="rId12"/>
    <sheet name="10_Mercado" sheetId="11" state="visible" r:id="rId13"/>
    <sheet name="Checklis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<sst xmlns="http://schemas.openxmlformats.org/spreadsheetml/2006/main" count="516" uniqueCount="418">
  <si>
    <t xml:space="preserve">GABARITO DE DADOS — SIMULADOR DE CUSTOS AZUL MOB (fretamento contínuo e transporte escolar: van, micro-ônibus e ônibus)</t>
  </si>
  <si>
    <t xml:space="preserve">Para que serve</t>
  </si>
  <si>
    <t xml:space="preserve">Este arquivo reúne os dados REAIS da Azul que alimentam o simulador de custos. Preenchido uma vez e atualizado periodicamente, ele substitui as premissas de mercado usadas nas planilhas de Holambra e São José dos Pinhais: cada novo edital passa a entrar só com suas variáveis (rotas, km, jornada, exigências) e o simulador calcula custo/km, custo por veículo-mês, preço e margem com os números da empresa.</t>
  </si>
  <si>
    <t xml:space="preserve">Como preencher</t>
  </si>
  <si>
    <t xml:space="preserve">Células AMARELAS são para preencher. Em cada aba, a linha 5 explica cada coluna e a linha 6 traz um exemplo ilustrativo (não é dado real — sobrescreva). Itens marcados com ★ são essenciais para a primeira versão funcionar; os demais melhoram a precisão e podem vir depois. Se não souber um número, deixe em branco e anote na coluna 'Observações' de onde ele pode ser obtido (contabilidade, Ituran, oficina, RH).</t>
  </si>
  <si>
    <t xml:space="preserve">Ordem sugerida</t>
  </si>
  <si>
    <t xml:space="preserve">1) Frota  2) Mão de obra + Jornada  3) Tributos e financeiro  4) Insumos  5) Indiretos  6) Regras da Azul  7) Histórico de contratos  8) Mercado. As abas 1 a 6 bastam para simular; 7 e 8 calibram e afinam o lance.</t>
  </si>
  <si>
    <t xml:space="preserve">Fontes internas prováveis</t>
  </si>
  <si>
    <t xml:space="preserve">Frota: Planilha Operacional (FROTA ATIVA), planilha Consórcios e Financiamentos, apólices Sombrero/ESSOR, base Ituran, tabela FIPE. Mão de obra: folha/DP, CCT do sindicato, planilha de VT. Tributos: contabilidade. Insumos: cartão-frota/abastecimento, pedidos de compra da oficina (Paraoficina), FOB pneus. Histórico: faturamento por contrato (Omie) × custo alocado.</t>
  </si>
  <si>
    <t xml:space="preserve">Unidades</t>
  </si>
  <si>
    <t xml:space="preserve">Valores em R$ sem centavos arredondados; percentuais como número (ex.: 70 para 70%, ou 0,70 — a célula formata); consumo em km/litro; km em km/mês; prazos em dias.</t>
  </si>
  <si>
    <t xml:space="preserve">Sigilo</t>
  </si>
  <si>
    <t xml:space="preserve">O arquivo contém dados sensíveis da empresa (salários, margens, taxas). Não anexe salários nominais de funcionários — só valores por função.</t>
  </si>
  <si>
    <t xml:space="preserve">Abas</t>
  </si>
  <si>
    <t xml:space="preserve">1_Frota · 2_MaoDeObra · 3_Jornada · 4_Indiretos · 5_Tributos_Financeiro · 6_Insumos · 7_Pedagios_Rotas · 8_Regras_Azul · 9_Historico_Contratos · 10_Mercado · Checklist</t>
  </si>
  <si>
    <t xml:space="preserve">1. FROTA — uma linha por MODELO/CONFIGURAÇÃO que a Azul opera ou pode alocar (não por placa)</t>
  </si>
  <si>
    <t xml:space="preserve">Agrupe placas iguais (mesmo modelo, ano aproximado, configuração) numa linha e informe a quantidade. O simulador usa estes dados para calcular o custo fixo mensal do veículo (depreciação, capital, seguro, IPVA, licenças, rastreador) e o custo variável por km (combustível, manutenção, pneus). Fonte: Planilha Operacional (FROTA ATIVA), Consórcios e Financiamentos, apólices, Ituran, FIPE.</t>
  </si>
  <si>
    <t xml:space="preserve">Linha 5 = explicação de cada coluna (★ = essencial; cinza = pode vir depois). Linha 6 = EXEMPLO ilustrativo (apague/sobrescreva). Preencha a partir da linha 7 (células amarelas).</t>
  </si>
  <si>
    <t xml:space="preserve">Tipo</t>
  </si>
  <si>
    <t xml:space="preserve">Modelo / marca</t>
  </si>
  <si>
    <t xml:space="preserve">Ano fab./modelo</t>
  </si>
  <si>
    <t xml:space="preserve">Qtde na frota</t>
  </si>
  <si>
    <t xml:space="preserve">Lotação (lugares)</t>
  </si>
  <si>
    <t xml:space="preserve">Acessível (PCD)?</t>
  </si>
  <si>
    <t xml:space="preserve">Km atual médio</t>
  </si>
  <si>
    <t xml:space="preserve">Valor de compra (R$)</t>
  </si>
  <si>
    <t xml:space="preserve">Valor FIPE atual (R$)</t>
  </si>
  <si>
    <t xml:space="preserve">Forma de aquisição</t>
  </si>
  <si>
    <t xml:space="preserve">Parcela mensal (R$)</t>
  </si>
  <si>
    <t xml:space="preserve">Taxa efetiva (% a.a.)</t>
  </si>
  <si>
    <t xml:space="preserve">Parcelas restantes</t>
  </si>
  <si>
    <t xml:space="preserve">Consumo real (km/l)</t>
  </si>
  <si>
    <t xml:space="preserve">Combustível</t>
  </si>
  <si>
    <t xml:space="preserve">Manutenção (R$/km)</t>
  </si>
  <si>
    <t xml:space="preserve">Pneus: qtde × preço (R$)</t>
  </si>
  <si>
    <t xml:space="preserve">Vida útil pneu (km)</t>
  </si>
  <si>
    <t xml:space="preserve">Seguro anual (R$)</t>
  </si>
  <si>
    <t xml:space="preserve">IPVA + licenciamento (R$/ano)</t>
  </si>
  <si>
    <t xml:space="preserve">Licenças/registros (R$/ano)</t>
  </si>
  <si>
    <t xml:space="preserve">Rastreador (R$/mês)</t>
  </si>
  <si>
    <t xml:space="preserve">Idade de venda (anos)</t>
  </si>
  <si>
    <t xml:space="preserve">Valor de revenda típico (% FIPE)</t>
  </si>
  <si>
    <t xml:space="preserve">Reserva técnica usual (%)</t>
  </si>
  <si>
    <t xml:space="preserve">Observações</t>
  </si>
  <si>
    <t xml:space="preserve">★ Van / Micro-ônibus / Ônibus urbano / Ônibus rodoviário / Ônibus escolar / Carro-executivo. O simulador filtra por tipo conforme o edital.</t>
  </si>
  <si>
    <t xml:space="preserve">★ Ex.: Sprinter 517, Master L3H2, Volare W9, Marcopolo Torino, Mascarello Gran Micro.</t>
  </si>
  <si>
    <t xml:space="preserve">★ Ano médio do grupo. Define elegibilidade (editais limitam idade: 5, 8, 10, 15 anos).</t>
  </si>
  <si>
    <t xml:space="preserve">★ Quantas unidades deste grupo existem hoje (base Ituran ~197 placas).</t>
  </si>
  <si>
    <t xml:space="preserve">★ Passageiros sentados, sem motorista.</t>
  </si>
  <si>
    <t xml:space="preserve">Sim/Não. Elevador/plataforma para cadeirante. Editais escolares e de saúde costumam exigir % da frota acessível.</t>
  </si>
  <si>
    <t xml:space="preserve">★ Odômetro médio do grupo (Ituran). Define elegibilidade por km máximo (ex.: 150 mil km).</t>
  </si>
  <si>
    <t xml:space="preserve">★ Preço pago por unidade (média do grupo).</t>
  </si>
  <si>
    <t xml:space="preserve">★ Valor de mercado hoje. Base da depreciação e do custo de capital.</t>
  </si>
  <si>
    <t xml:space="preserve">★ À vista / CDC / Consórcio / Leasing. Nome do banco ajuda (Moneo, Santander, Itaú, Stellantis, Bradesco, RCI, CNP, BB, Mercabenco).</t>
  </si>
  <si>
    <t xml:space="preserve">★ Prestação do financiamento/consórcio por unidade. Se quitado, 0.</t>
  </si>
  <si>
    <t xml:space="preserve">★ Juros do contrato de financiamento. Para consórcio: taxa de administração anualizada.</t>
  </si>
  <si>
    <t xml:space="preserve">Meses até quitar.</t>
  </si>
  <si>
    <t xml:space="preserve">★ Média real do grupo: km Ituran ÷ litros abastecidos (últimos 6–12 meses). É o dado mais importante do custo variável.</t>
  </si>
  <si>
    <t xml:space="preserve">★ Diesel S10 / Gasolina / Etanol / GNV / Elétrico.</t>
  </si>
  <si>
    <t xml:space="preserve">★ Peças + mão de obra de oficina ÷ km rodado no período (12 meses). Fonte: pedidos de compra da oficina / Paraoficina + folha da oficina rateada.</t>
  </si>
  <si>
    <t xml:space="preserve">★ Número de pneus e preço unitário do modelo usado (FOB XBRI/Linglong).</t>
  </si>
  <si>
    <t xml:space="preserve">★ Km até troca, considerando recapagens (informe quantas recapagens faz).</t>
  </si>
  <si>
    <t xml:space="preserve">★ Prêmio anual por unidade: casco + RC (Sombrero fretamento 1002806001249 / escolar 1002806001248, ESSOR ANTT). Informe também a franquia.</t>
  </si>
  <si>
    <t xml:space="preserve">★ Total anual por unidade (IPVA, DPVAT/taxas, licenciamento).</t>
  </si>
  <si>
    <t xml:space="preserve">★ ARTESP, EMTU, ANTT (fretamento), registro escolar CVS/CET/Detran, inspeção semestral escolar, tacógrafo, vistoria. Some tudo por ano e liste na coluna Observações.</t>
  </si>
  <si>
    <t xml:space="preserve">★ Mensalidade Ituran por veículo (LORA/SMART). Informe se tem telemetria/satélite disponível.</t>
  </si>
  <si>
    <t xml:space="preserve">Com quantos anos a Azul costuma vender esse tipo de veículo.</t>
  </si>
  <si>
    <t xml:space="preserve">Percentual da FIPE que consegue na venda (ex.: 90%).</t>
  </si>
  <si>
    <t xml:space="preserve">Quantos veículos reserva por 10 operacionais neste tipo.</t>
  </si>
  <si>
    <t xml:space="preserve">Configuração especial (ar, poltrona, cinto 3 pontos, câmera, monitoramento), restrições, etc.</t>
  </si>
  <si>
    <t xml:space="preserve">Van</t>
  </si>
  <si>
    <t xml:space="preserve">Sprinter 517 CDI 19+1</t>
  </si>
  <si>
    <t xml:space="preserve">Não</t>
  </si>
  <si>
    <t xml:space="preserve">CDC Santander</t>
  </si>
  <si>
    <t xml:space="preserve">Diesel S10</t>
  </si>
  <si>
    <t xml:space="preserve">6 × R$ 1.150</t>
  </si>
  <si>
    <t xml:space="preserve">Ar-condicionado, cinto 3 pontos</t>
  </si>
  <si>
    <t xml:space="preserve">2. MÃO DE OBRA — uma linha por FUNÇÃO × CONVENÇÃO/REGIÃO</t>
  </si>
  <si>
    <t xml:space="preserve">Valores por função, nunca por pessoa. Repita a função se o piso muda por região (capital, interior, outro estado) ou por sindicato (fretamento × escolar × urbano). O simulador calcula custo mensal do posto = salário × (1 + encargos) + benefícios + EPI, ajustado pela jornada da aba 3. Fonte: DP/folha, CCT vigente, planilha de VT.</t>
  </si>
  <si>
    <t xml:space="preserve">Função</t>
  </si>
  <si>
    <t xml:space="preserve">CCT / sindicato</t>
  </si>
  <si>
    <t xml:space="preserve">Região</t>
  </si>
  <si>
    <t xml:space="preserve">Salário base (R$/mês)</t>
  </si>
  <si>
    <t xml:space="preserve">Adicionais fixos (R$/mês)</t>
  </si>
  <si>
    <t xml:space="preserve">Horas extras médias (%)</t>
  </si>
  <si>
    <t xml:space="preserve">Adicional noturno médio (%)</t>
  </si>
  <si>
    <t xml:space="preserve">Encargos sociais (%)</t>
  </si>
  <si>
    <t xml:space="preserve">VR/VA (R$/mês)</t>
  </si>
  <si>
    <t xml:space="preserve">Cesta básica (R$/mês)</t>
  </si>
  <si>
    <t xml:space="preserve">Vale-transporte líquido (R$/mês)</t>
  </si>
  <si>
    <t xml:space="preserve">Plano de saúde/odonto (R$/mês)</t>
  </si>
  <si>
    <t xml:space="preserve">Seguro de vida (R$/mês)</t>
  </si>
  <si>
    <t xml:space="preserve">Uniforme + EPI (R$/mês)</t>
  </si>
  <si>
    <t xml:space="preserve">Exames e cursos (R$/mês)</t>
  </si>
  <si>
    <t xml:space="preserve">Absenteísmo/folguista (%)</t>
  </si>
  <si>
    <t xml:space="preserve">Rotatividade anual (%)</t>
  </si>
  <si>
    <t xml:space="preserve">Custo total do posto (R$/mês)</t>
  </si>
  <si>
    <t xml:space="preserve">★ Motorista van / Motorista micro / Motorista ônibus / Monitora escolar / Cobrador / Auxiliar / Supervisor / Preposto / Mecânico.</t>
  </si>
  <si>
    <t xml:space="preserve">★ Convenção que rege (ex.: SETPESP × Sindicato dos Condutores; escolar SP; SETRANSP-PR). Informe vigência (mês-base).</t>
  </si>
  <si>
    <t xml:space="preserve">★ SP capital / Grande SP / interior SP / outro estado (qual).</t>
  </si>
  <si>
    <t xml:space="preserve">★ Piso praticado pela Azul (não o mínimo da CCT, se paga acima).</t>
  </si>
  <si>
    <t xml:space="preserve">Gratificações, quebra de caixa, adicional de função, periculosidade quando houver.</t>
  </si>
  <si>
    <t xml:space="preserve">★ % médio do salário pago em HE nos últimos 12 meses para essa função.</t>
  </si>
  <si>
    <t xml:space="preserve">% médio do salário quando há operação noturna (22h–5h).</t>
  </si>
  <si>
    <t xml:space="preserve">★ Percentual que a contabilidade aplica sobre o salário: INSS patronal + RAT/FAP + terceiros + FGTS + provisões (férias, 1/3, 13º, rescisão, aviso). Informe o número real (ex.: 68%).</t>
  </si>
  <si>
    <t xml:space="preserve">★ Vale-refeição/alimentação por pessoa (valor/dia × dias).</t>
  </si>
  <si>
    <t xml:space="preserve">★ Custo médio da empresa por pessoa já descontados os 6% (planilha de VT).</t>
  </si>
  <si>
    <t xml:space="preserve">Custo empresa por pessoa, se houver.</t>
  </si>
  <si>
    <t xml:space="preserve">★ Custo anual ÷ 12.</t>
  </si>
  <si>
    <t xml:space="preserve">★ ASO, toxicológico (CNH C/D/E), curso transporte coletivo/escolar (CONTRAN), primeiros socorros, reciclagens — anualizado ÷ 12.</t>
  </si>
  <si>
    <t xml:space="preserve">★ Percentual extra de pessoal para cobrir faltas, férias e folgas (ex.: 1 folguista para 5 motoristas = 20%).</t>
  </si>
  <si>
    <t xml:space="preserve">Desligamentos ÷ quadro. Alimenta a provisão de rescisão.</t>
  </si>
  <si>
    <t xml:space="preserve">Se o DP já tem esse número consolidado, informe — serve para conferir a fórmula.</t>
  </si>
  <si>
    <t xml:space="preserve">Motorista ônibus</t>
  </si>
  <si>
    <t xml:space="preserve">SETPESP/Sind. Condutores SP — 2026</t>
  </si>
  <si>
    <t xml:space="preserve">SP capital</t>
  </si>
  <si>
    <t xml:space="preserve">Escala 5x2</t>
  </si>
  <si>
    <t xml:space="preserve">3. JORNADA E DIMENSIONAMENTO DE PESSOAL — regras que a Azul pratica</t>
  </si>
  <si>
    <t xml:space="preserve">Transforma os horários do edital em número de motoristas por veículo. Preencha como a empresa realmente opera hoje; o simulador aplica estas regras a cada rota (início/fim, turnos, dias da semana).</t>
  </si>
  <si>
    <t xml:space="preserve">Item</t>
  </si>
  <si>
    <t xml:space="preserve">Unidade</t>
  </si>
  <si>
    <t xml:space="preserve">SEU VALOR (preencher)</t>
  </si>
  <si>
    <t xml:space="preserve">O que é / como obter</t>
  </si>
  <si>
    <t xml:space="preserve">Exemplo</t>
  </si>
  <si>
    <t xml:space="preserve">Regras gerais</t>
  </si>
  <si>
    <t xml:space="preserve">★ Jornada semanal contratual</t>
  </si>
  <si>
    <t xml:space="preserve">horas</t>
  </si>
  <si>
    <t xml:space="preserve">44 h é o padrão CLT; algumas CCTs praticam 40/42 h.</t>
  </si>
  <si>
    <t xml:space="preserve">★ Escalas praticadas</t>
  </si>
  <si>
    <t xml:space="preserve">texto</t>
  </si>
  <si>
    <t xml:space="preserve">Ex.: 5x2, 6x1, 12x36; seg–sex, seg–sáb, ter–sáb, dom–sex (conforme RH).</t>
  </si>
  <si>
    <t xml:space="preserve">5x2 e 6x1</t>
  </si>
  <si>
    <t xml:space="preserve">★ Horas/dia a partir das quais paga HE (ou usa banco)</t>
  </si>
  <si>
    <t xml:space="preserve">Normalmente 8 h (com intrajornada 1 h). Informe se usa banco de horas e como compensa.</t>
  </si>
  <si>
    <t xml:space="preserve">★ Percentual de HE praticado</t>
  </si>
  <si>
    <t xml:space="preserve">%</t>
  </si>
  <si>
    <t xml:space="preserve">50% dias úteis; 100% domingos/feriados — confirme a CCT.</t>
  </si>
  <si>
    <t xml:space="preserve">★ Adicional noturno</t>
  </si>
  <si>
    <t xml:space="preserve">20% sobre a hora entre 22h e 5h (hora reduzida 52m30s).</t>
  </si>
  <si>
    <t xml:space="preserve">Intervalo intrajornada considerado</t>
  </si>
  <si>
    <t xml:space="preserve">1 h padrão; algumas CCTs permitem fracionar (Lei 13.103).</t>
  </si>
  <si>
    <t xml:space="preserve">Tempo de espera remunerado?</t>
  </si>
  <si>
    <t xml:space="preserve">Sim/Não</t>
  </si>
  <si>
    <t xml:space="preserve">Lei 13.103: tempo de espera pode ser pago a 30% — informe a prática da Azul.</t>
  </si>
  <si>
    <t xml:space="preserve">Motoristas por veículo (padrão da Azul)</t>
  </si>
  <si>
    <t xml:space="preserve">★ Escolar 2 períodos (manhã + tarde, ~5h às 18h)</t>
  </si>
  <si>
    <t xml:space="preserve">motoristas/veículo</t>
  </si>
  <si>
    <t xml:space="preserve">Quantos motoristas você aloca por veículo nessa jornada (1 com HE, 1,2 com folguista, 2 turnos…).</t>
  </si>
  <si>
    <t xml:space="preserve">★ Escolar 3 períodos (manhã, tarde, noite até 23h)</t>
  </si>
  <si>
    <t xml:space="preserve">★ Fretamento contínuo 2 picos (entrada/saída de turno)</t>
  </si>
  <si>
    <t xml:space="preserve">Ex.: 05h–09h e 16h–20h.</t>
  </si>
  <si>
    <t xml:space="preserve">★ Fretamento 3 turnos / 24h</t>
  </si>
  <si>
    <t xml:space="preserve">Van saúde/regulação (06h–19h, seg–sáb)</t>
  </si>
  <si>
    <t xml:space="preserve">★ Monitora por veículo escolar</t>
  </si>
  <si>
    <t xml:space="preserve">monitoras/veículo</t>
  </si>
  <si>
    <t xml:space="preserve">1 por período ou 1 por veículo?</t>
  </si>
  <si>
    <t xml:space="preserve">Deslocamentos</t>
  </si>
  <si>
    <t xml:space="preserve">★ Km morto padrão (garagem ↔ ponto inicial)</t>
  </si>
  <si>
    <t xml:space="preserve">% do km pago</t>
  </si>
  <si>
    <t xml:space="preserve">Percentual que você considera quando o contrato paga por km (ex.: 10–15%).</t>
  </si>
  <si>
    <t xml:space="preserve">Tempo de deslocamento pago ao motorista</t>
  </si>
  <si>
    <t xml:space="preserve">min/dia</t>
  </si>
  <si>
    <t xml:space="preserve">Minutos diários de garagem até o início da rota que entram na jornada.</t>
  </si>
  <si>
    <t xml:space="preserve">4. CUSTOS INDIRETOS E ESTRUTURA — administração central, garagem, supervisão</t>
  </si>
  <si>
    <t xml:space="preserve">Custos que não são de um veículo nem de um motorista específico, mas que precisam entrar no preço. Informe o valor mensal total e a base de rateio que a Azul usa (por veículo, por faturamento ou por km).</t>
  </si>
  <si>
    <t xml:space="preserve">Administração central (mensal)</t>
  </si>
  <si>
    <t xml:space="preserve">★ Folha administrativa + encargos</t>
  </si>
  <si>
    <t xml:space="preserve">R$/mês</t>
  </si>
  <si>
    <t xml:space="preserve">Diretoria, RH/DP, financeiro, comercial/licitações, TI, compras. Sem oficina e sem operação.</t>
  </si>
  <si>
    <t xml:space="preserve">★ Contabilidade, jurídico, certificados digitais, certidões</t>
  </si>
  <si>
    <t xml:space="preserve">★ Sistemas (gestão de motoristas, ERP Omie, Ituran plataforma, telefonia, internet)</t>
  </si>
  <si>
    <t xml:space="preserve">Só a parte de plataforma/licença; o rastreador por veículo está na aba 1.</t>
  </si>
  <si>
    <t xml:space="preserve">★ Aluguel/IPTU/energia/água da sede e garagem SP</t>
  </si>
  <si>
    <t xml:space="preserve">★ Oficina própria: folha + estrutura (se não já rateada em R$/km na aba 1)</t>
  </si>
  <si>
    <t xml:space="preserve">Evite contar duas vezes: se a manutenção R$/km da aba 1 já inclui a folha da oficina, coloque 0 aqui.</t>
  </si>
  <si>
    <t xml:space="preserve">Marketing, viagens, despesas gerais</t>
  </si>
  <si>
    <t xml:space="preserve">★ Total de veículos ativos (base de rateio)</t>
  </si>
  <si>
    <t xml:space="preserve">veículos</t>
  </si>
  <si>
    <t xml:space="preserve">Frota operacional média.</t>
  </si>
  <si>
    <t xml:space="preserve">★ Faturamento mensal médio (base de rateio)</t>
  </si>
  <si>
    <t xml:space="preserve">Últimos 12 meses ÷ 12.</t>
  </si>
  <si>
    <t xml:space="preserve">★ Base de rateio preferida</t>
  </si>
  <si>
    <t xml:space="preserve">Por veículo / por faturamento (%) / por km. O simulador calcula das três formas e você escolhe.</t>
  </si>
  <si>
    <t xml:space="preserve">por veículo</t>
  </si>
  <si>
    <t xml:space="preserve">Estrutura por contrato (fora da sede)</t>
  </si>
  <si>
    <t xml:space="preserve">★ Garagem/pátio em outra cidade — custo típico</t>
  </si>
  <si>
    <t xml:space="preserve">Aluguel de pátio + vigilância + energia para 8–10 veículos (média do que já pagou em contratos fora de SP).</t>
  </si>
  <si>
    <t xml:space="preserve">★ Supervisor/preposto local — custo do posto</t>
  </si>
  <si>
    <t xml:space="preserve">Salário + encargos + benefícios + veículo de apoio.</t>
  </si>
  <si>
    <t xml:space="preserve">Veículo de apoio (R$/mês)</t>
  </si>
  <si>
    <t xml:space="preserve">Carro do supervisor/socorro, combustível incluso.</t>
  </si>
  <si>
    <t xml:space="preserve">Implantação de contrato (uma vez)</t>
  </si>
  <si>
    <t xml:space="preserve">R$</t>
  </si>
  <si>
    <t xml:space="preserve">Adesivagem, treinamento, mudança de veículos, documentação — média por contrato.</t>
  </si>
  <si>
    <t xml:space="preserve">5. TRIBUTOS E FINANCEIRO — pedir à contabilidade</t>
  </si>
  <si>
    <t xml:space="preserve">Alíquotas EFETIVAS que a contabilidade aplica ao faturamento e às condições de recebimento. O simulador precisa distinguir transporte municipal (ISS) de intermunicipal/interestadual (ICMS) e conhecer o custo do dinheiro entre prestar o serviço e receber.</t>
  </si>
  <si>
    <t xml:space="preserve">Regime e alíquotas sobre faturamento</t>
  </si>
  <si>
    <t xml:space="preserve">★ Regime tributário</t>
  </si>
  <si>
    <t xml:space="preserve">Lucro Presumido / Lucro Real / Simples Nacional (anexo).</t>
  </si>
  <si>
    <t xml:space="preserve">Lucro Presumido</t>
  </si>
  <si>
    <t xml:space="preserve">★ PIS</t>
  </si>
  <si>
    <t xml:space="preserve">0,65% presumido / 1,65% real (com créditos — informe efetivo).</t>
  </si>
  <si>
    <t xml:space="preserve">★ COFINS</t>
  </si>
  <si>
    <t xml:space="preserve">3% presumido / 7,6% real (efetivo após créditos).</t>
  </si>
  <si>
    <t xml:space="preserve">★ IRPJ efetivo sobre faturamento</t>
  </si>
  <si>
    <t xml:space="preserve">Presumido: 8% base × 15% (+10% adicional). Informe o efetivo dos últimos 12 meses.</t>
  </si>
  <si>
    <t xml:space="preserve">★ CSLL efetivo sobre faturamento</t>
  </si>
  <si>
    <t xml:space="preserve">Presumido: 12% base × 9%.</t>
  </si>
  <si>
    <t xml:space="preserve">★ ISS — São Paulo capital (transporte municipal)</t>
  </si>
  <si>
    <t xml:space="preserve">Alíquota do código de serviço usado (16.01/16.02).</t>
  </si>
  <si>
    <t xml:space="preserve">★ ISS — outros municípios onde atua (listar)</t>
  </si>
  <si>
    <t xml:space="preserve">Cidade: alíquota. Ex.: Marília 3%, Holambra 3%, SJ dos Pinhais ?%. ISS é devido onde o serviço é prestado.</t>
  </si>
  <si>
    <t xml:space="preserve">Marília 3%; Holambra 3%</t>
  </si>
  <si>
    <t xml:space="preserve">★ ICMS transporte intermunicipal — SP</t>
  </si>
  <si>
    <t xml:space="preserve">12% em SP; informe se usa crédito outorgado/regime especial (ex.: crédito de 20%).</t>
  </si>
  <si>
    <t xml:space="preserve">ICMS interestadual / outros estados</t>
  </si>
  <si>
    <t xml:space="preserve">Ex.: PR 12%; informar regimes especiais.</t>
  </si>
  <si>
    <t xml:space="preserve">Retenções na fonte típicas de órgãos públicos</t>
  </si>
  <si>
    <t xml:space="preserve">IRRF 1,5%–4,8%, CSRF 4,65%, ISS retido, INSS 11% quando há cessão de mão de obra. Retenção não é custo, mas afeta caixa.</t>
  </si>
  <si>
    <t xml:space="preserve">IRRF 1,5% + CSRF 4,65%</t>
  </si>
  <si>
    <t xml:space="preserve">Desoneração da folha / CPRB</t>
  </si>
  <si>
    <t xml:space="preserve">Sim/Não e %</t>
  </si>
  <si>
    <t xml:space="preserve">Se a empresa está na CPRB (transporte de passageiros), informe alíquota sobre receita e o INSS patronal que deixa de pagar.</t>
  </si>
  <si>
    <t xml:space="preserve">Prazo e custo financeiro</t>
  </si>
  <si>
    <t xml:space="preserve">★ Prazo médio real de recebimento — prefeituras</t>
  </si>
  <si>
    <t xml:space="preserve">dias</t>
  </si>
  <si>
    <t xml:space="preserve">Da prestação do serviço ao crédito em conta (medição + NF + 30 dias contratuais + atrasos). Média real.</t>
  </si>
  <si>
    <t xml:space="preserve">★ Prazo médio real de recebimento — empresas (fretamento)</t>
  </si>
  <si>
    <t xml:space="preserve">★ Custo do capital de giro</t>
  </si>
  <si>
    <t xml:space="preserve">% a.m.</t>
  </si>
  <si>
    <t xml:space="preserve">Taxa de antecipação de recebíveis / conta garantida / capital próprio (custo de oportunidade).</t>
  </si>
  <si>
    <t xml:space="preserve">Inadimplência/glosas médias em contratos públicos</t>
  </si>
  <si>
    <t xml:space="preserve">Percentual do faturamento glosado ou não pago (últimos 2 anos).</t>
  </si>
  <si>
    <t xml:space="preserve">Garantia contratual — custo do seguro-garantia</t>
  </si>
  <si>
    <t xml:space="preserve">% a.a. sobre valor garantido</t>
  </si>
  <si>
    <t xml:space="preserve">Quando o edital exige 5% de garantia, quanto custa a apólice.</t>
  </si>
  <si>
    <t xml:space="preserve">6. INSUMOS VARIÁVEIS — combustível e consumíveis por km</t>
  </si>
  <si>
    <t xml:space="preserve">Preços que a Azul efetivamente paga. O consumo (km/l) e a manutenção (R$/km) por modelo estão na aba 1; aqui ficam os preços dos insumos e os itens por km que não dependem do modelo.</t>
  </si>
  <si>
    <t xml:space="preserve">★ Diesel S10 — preço pago</t>
  </si>
  <si>
    <t xml:space="preserve">R$/litro</t>
  </si>
  <si>
    <t xml:space="preserve">Preço médio dos últimos 3 meses (cartão-frota/nota do posto/tanque próprio). Informe a fonte.</t>
  </si>
  <si>
    <t xml:space="preserve">Gasolina / etanol (se opera veículos leves)</t>
  </si>
  <si>
    <t xml:space="preserve">★ Forma de abastecimento</t>
  </si>
  <si>
    <t xml:space="preserve">Tanque próprio / cartão-frota (qual) / posto conveniado. Desconto médio obtido.</t>
  </si>
  <si>
    <t xml:space="preserve">Cartão-frota, 3% desc.</t>
  </si>
  <si>
    <t xml:space="preserve">Reajuste médio anual do diesel considerado</t>
  </si>
  <si>
    <t xml:space="preserve">Para contratos com reajuste só após 12 meses.</t>
  </si>
  <si>
    <t xml:space="preserve">★ ARLA 32</t>
  </si>
  <si>
    <t xml:space="preserve">R$/litro e % do diesel</t>
  </si>
  <si>
    <t xml:space="preserve">Preço e proporção de consumo (≈4–5% do diesel em Euro 5/6).</t>
  </si>
  <si>
    <t xml:space="preserve">R$ 4,20; 4,5%</t>
  </si>
  <si>
    <t xml:space="preserve">Consumíveis por km (média da frota)</t>
  </si>
  <si>
    <t xml:space="preserve">★ Óleo lubrificante + filtros</t>
  </si>
  <si>
    <t xml:space="preserve">R$/km</t>
  </si>
  <si>
    <t xml:space="preserve">Custo anual ÷ km, se NÃO estiver dentro da manutenção da aba 1.</t>
  </si>
  <si>
    <t xml:space="preserve">★ Lavagem e higienização</t>
  </si>
  <si>
    <t xml:space="preserve">R$/km ou R$/veículo-mês</t>
  </si>
  <si>
    <t xml:space="preserve">Interna/terceirizada.</t>
  </si>
  <si>
    <t xml:space="preserve">R$ 320/veículo-mês</t>
  </si>
  <si>
    <t xml:space="preserve">★ Pneus — recapagem (preço e quantas vezes)</t>
  </si>
  <si>
    <t xml:space="preserve">R$ por recapagem</t>
  </si>
  <si>
    <t xml:space="preserve">R$ 480, 2 recapagens</t>
  </si>
  <si>
    <t xml:space="preserve">Alinhamento/balanceamento/rodízio</t>
  </si>
  <si>
    <t xml:space="preserve">Multas de trânsito (média)</t>
  </si>
  <si>
    <t xml:space="preserve">R$/veículo-mês</t>
  </si>
  <si>
    <t xml:space="preserve">Fonte: CONTROLE MULTAS 2026. Parte não repassada ao motorista.</t>
  </si>
  <si>
    <t xml:space="preserve">Sinistros/franquias (média)</t>
  </si>
  <si>
    <t xml:space="preserve">Franquias pagas ÷ frota ÷ 12.</t>
  </si>
  <si>
    <t xml:space="preserve">7. PEDÁGIOS E ROTAS TÍPICAS — uma linha por praça/trecho que a operação cruza</t>
  </si>
  <si>
    <t xml:space="preserve">Nos editais o pedágio raramente é reembolsado. Cadastre as praças das rodovias onde a Azul opera ou pretende operar, com tarifa por categoria de veículo. O simulador multiplica passagens/dia × tarifa. Fonte: extrato da tag (Sem Parar/ConectCar) e sites das concessionárias.</t>
  </si>
  <si>
    <t xml:space="preserve">Rodovia / praça</t>
  </si>
  <si>
    <t xml:space="preserve">Concessionária</t>
  </si>
  <si>
    <t xml:space="preserve">Tarifa carro / van 2 eixos (R$)</t>
  </si>
  <si>
    <t xml:space="preserve">Tarifa micro-ônibus (R$)</t>
  </si>
  <si>
    <t xml:space="preserve">Tarifa ônibus 2 eixos (R$)</t>
  </si>
  <si>
    <t xml:space="preserve">Tarifa ônibus 3 eixos (R$)</t>
  </si>
  <si>
    <t xml:space="preserve">Desconto tag / DUF (%)</t>
  </si>
  <si>
    <t xml:space="preserve">Usado em quais operações</t>
  </si>
  <si>
    <t xml:space="preserve">Data da tarifa</t>
  </si>
  <si>
    <t xml:space="preserve">★ Ex.: SP-330 Anhanguera km 46 (CCR AutoBAn); BR-277 Campo Largo.</t>
  </si>
  <si>
    <t xml:space="preserve">★ </t>
  </si>
  <si>
    <t xml:space="preserve">★ Normalmente = 2 eixos rodagem dupla.</t>
  </si>
  <si>
    <t xml:space="preserve">Desconto de usuário frequente ou de tag, se houver.</t>
  </si>
  <si>
    <t xml:space="preserve">Contratos/cidades que cruzam essa praça.</t>
  </si>
  <si>
    <t xml:space="preserve">SP-330 Anhanguera km 46 (Perus)</t>
  </si>
  <si>
    <t xml:space="preserve">CCR AutoBAn</t>
  </si>
  <si>
    <t xml:space="preserve">Fretamento Jundiaí</t>
  </si>
  <si>
    <t xml:space="preserve">set/2026</t>
  </si>
  <si>
    <t xml:space="preserve">8. REGRAS E PADRÕES DA AZUL — decisões de gestão que o simulador deve respeitar</t>
  </si>
  <si>
    <t xml:space="preserve">Parâmetros de política comercial. Definem margem mínima, reservas, limites de frota e como você quer ver o resultado.</t>
  </si>
  <si>
    <t xml:space="preserve">Margem e preço</t>
  </si>
  <si>
    <t xml:space="preserve">★ Margem líquida mínima aceitável (após tributos)</t>
  </si>
  <si>
    <t xml:space="preserve">Abaixo disso o simulador sinaliza 'não lançar'.</t>
  </si>
  <si>
    <t xml:space="preserve">★ Margem líquida alvo</t>
  </si>
  <si>
    <t xml:space="preserve">Usada para calcular o preço de abertura.</t>
  </si>
  <si>
    <t xml:space="preserve">★ Contingência/risco padrão sobre custo direto</t>
  </si>
  <si>
    <t xml:space="preserve">Cobre multas, glosas, sinistros, imprevistos.</t>
  </si>
  <si>
    <t xml:space="preserve">Administração central padrão (se não usar rateio real)</t>
  </si>
  <si>
    <t xml:space="preserve">Passo mínimo de lance que você usa</t>
  </si>
  <si>
    <t xml:space="preserve">R$ ou %</t>
  </si>
  <si>
    <t xml:space="preserve">R$ 0,10/km</t>
  </si>
  <si>
    <t xml:space="preserve">Frota e operação</t>
  </si>
  <si>
    <t xml:space="preserve">★ Reserva técnica — van / micro / ônibus</t>
  </si>
  <si>
    <t xml:space="preserve">Ex.: 10% / 10% / 15%.</t>
  </si>
  <si>
    <t xml:space="preserve">10% / 10% / 15%</t>
  </si>
  <si>
    <t xml:space="preserve">★ Idade máxima de veículo que aloca em contrato novo</t>
  </si>
  <si>
    <t xml:space="preserve">anos</t>
  </si>
  <si>
    <t xml:space="preserve">Mesmo quando o edital permite mais.</t>
  </si>
  <si>
    <t xml:space="preserve">Km máximo por veículo/ano que considera saudável</t>
  </si>
  <si>
    <t xml:space="preserve">km/ano</t>
  </si>
  <si>
    <t xml:space="preserve">Para decidir entre 1 ou 2 veículos por rota.</t>
  </si>
  <si>
    <t xml:space="preserve">★ Distância máxima da sede para operar sem base local</t>
  </si>
  <si>
    <t xml:space="preserve">km</t>
  </si>
  <si>
    <t xml:space="preserve">Acima disso exige garagem e supervisor locais (aba 4).</t>
  </si>
  <si>
    <t xml:space="preserve">★ Utilização esperada em SRP / contratos por demanda</t>
  </si>
  <si>
    <t xml:space="preserve">% do km máximo do edital que você assume como faturável.</t>
  </si>
  <si>
    <t xml:space="preserve">★ Meses de custo fixo em contrato escolar (200 dias letivos)</t>
  </si>
  <si>
    <t xml:space="preserve">meses</t>
  </si>
  <si>
    <t xml:space="preserve">Se mantém equipe e veículo nas férias.</t>
  </si>
  <si>
    <t xml:space="preserve">Saída desejada</t>
  </si>
  <si>
    <t xml:space="preserve">★ Como quer ver o resultado</t>
  </si>
  <si>
    <t xml:space="preserve">Por km / por veículo-mês / por posto (motorista) / por aluno — pode marcar todos.</t>
  </si>
  <si>
    <t xml:space="preserve">km e veículo-mês</t>
  </si>
  <si>
    <t xml:space="preserve">Moeda e arredondamento</t>
  </si>
  <si>
    <t xml:space="preserve">2 casas no preço unitário (regra comum de edital).</t>
  </si>
  <si>
    <t xml:space="preserve">2 casas</t>
  </si>
  <si>
    <t xml:space="preserve">Quem aprova o preço final</t>
  </si>
  <si>
    <t xml:space="preserve">Nome/cargo — para o fluxo de aprovação do simulador.</t>
  </si>
  <si>
    <t xml:space="preserve">9. HISTÓRICO DE CONTRATOS — previsto × realizado (5 a 10 contratos recentes, escolar e fretamento)</t>
  </si>
  <si>
    <t xml:space="preserve">É o que CALIBRA o simulador: comparando o que você orçou com o que gastou, descobrimos onde as premissas erram (km morto, HE, manutenção, ociosidade). Fonte: Omie (faturamento), folha alocada, abastecimento por placa, oficina por placa.</t>
  </si>
  <si>
    <t xml:space="preserve">Contrato / cliente</t>
  </si>
  <si>
    <t xml:space="preserve">Cidade/UF</t>
  </si>
  <si>
    <t xml:space="preserve">Vigência (início–fim)</t>
  </si>
  <si>
    <t xml:space="preserve">Veículos alocados (tipo × qtde)</t>
  </si>
  <si>
    <t xml:space="preserve">Motoristas / monitores alocados</t>
  </si>
  <si>
    <t xml:space="preserve">Km/mês previsto na proposta</t>
  </si>
  <si>
    <t xml:space="preserve">Km/mês realizado (média)</t>
  </si>
  <si>
    <t xml:space="preserve">Faturamento mensal médio (R$)</t>
  </si>
  <si>
    <t xml:space="preserve">Preço unitário contratado</t>
  </si>
  <si>
    <t xml:space="preserve">Custo mensal previsto na proposta (R$)</t>
  </si>
  <si>
    <t xml:space="preserve">Custo mensal realizado (R$)</t>
  </si>
  <si>
    <t xml:space="preserve">Resultado mensal (R$)</t>
  </si>
  <si>
    <t xml:space="preserve">Margem líquida realizada (%)</t>
  </si>
  <si>
    <t xml:space="preserve">Pedágio mensal (R$)</t>
  </si>
  <si>
    <t xml:space="preserve">HE mensal (R$)</t>
  </si>
  <si>
    <t xml:space="preserve">Principais desvios</t>
  </si>
  <si>
    <t xml:space="preserve">Concorrentes que disputaram / vencedor e preço</t>
  </si>
  <si>
    <t xml:space="preserve">★ Órgão ou empresa + número do contrato/pregão.</t>
  </si>
  <si>
    <t xml:space="preserve">★ Escolar / Fretamento contínuo / Saúde / Locação c/ motorista / Locação s/ motorista / Eventual.</t>
  </si>
  <si>
    <t xml:space="preserve">★ Ex.: 3 ônibus 44 lug + 1 micro.</t>
  </si>
  <si>
    <t xml:space="preserve">★ Cabeças, incluindo folguistas.</t>
  </si>
  <si>
    <t xml:space="preserve">★ Ituran.</t>
  </si>
  <si>
    <t xml:space="preserve">★ R$/km, R$/veículo-mês ou R$/dia — informe a unidade.</t>
  </si>
  <si>
    <t xml:space="preserve">Se tiver a planilha original.</t>
  </si>
  <si>
    <t xml:space="preserve">★ Folha alocada + combustível + manutenção + veículo + rateios.</t>
  </si>
  <si>
    <t xml:space="preserve">★ Faturamento − custo − tributos.</t>
  </si>
  <si>
    <t xml:space="preserve">Horas extras pagas na operação.</t>
  </si>
  <si>
    <t xml:space="preserve">★ O que saiu diferente do orçado (km morto, atrasos de pagamento, glosas, quebra, demanda menor).</t>
  </si>
  <si>
    <t xml:space="preserve">Se souber.</t>
  </si>
  <si>
    <t xml:space="preserve">PE 086/2026 Marília (não vencido)</t>
  </si>
  <si>
    <t xml:space="preserve">Escolar</t>
  </si>
  <si>
    <t xml:space="preserve">Marília/SP</t>
  </si>
  <si>
    <t xml:space="preserve">—</t>
  </si>
  <si>
    <t xml:space="preserve">6 ônibus 46 lug</t>
  </si>
  <si>
    <t xml:space="preserve">7 mot + 6 mon</t>
  </si>
  <si>
    <t xml:space="preserve">R$ 5.100.000/ano</t>
  </si>
  <si>
    <t xml:space="preserve">Ficou 2º; Futura 0,5% abaixo</t>
  </si>
  <si>
    <t xml:space="preserve">Futura Transportes R$ 5.074.500</t>
  </si>
  <si>
    <t xml:space="preserve">10. MERCADO — preços de referência e concorrentes (o que você já sabe; eu complemento pelo PNCP)</t>
  </si>
  <si>
    <t xml:space="preserve">Preços vencedores recentes em objetos parecidos e concorrentes recorrentes. Alimenta a 'inteligência de lance': desconto médio sobre o teto e piso praticado por região/objeto.</t>
  </si>
  <si>
    <t xml:space="preserve">Edital / órgão</t>
  </si>
  <si>
    <t xml:space="preserve">Objeto</t>
  </si>
  <si>
    <t xml:space="preserve">UF / cidade</t>
  </si>
  <si>
    <t xml:space="preserve">Data</t>
  </si>
  <si>
    <t xml:space="preserve">Unidade de preço</t>
  </si>
  <si>
    <t xml:space="preserve">Preço máximo do edital</t>
  </si>
  <si>
    <t xml:space="preserve">Preço vencedor</t>
  </si>
  <si>
    <t xml:space="preserve">Desconto sobre o teto (%)</t>
  </si>
  <si>
    <t xml:space="preserve">Vencedor</t>
  </si>
  <si>
    <t xml:space="preserve">2º colocado e preço</t>
  </si>
  <si>
    <t xml:space="preserve">Azul participou? posição e preço</t>
  </si>
  <si>
    <t xml:space="preserve">★ Escolar ônibus / escolar van / fretamento / saúde / locação.</t>
  </si>
  <si>
    <t xml:space="preserve">★ R$/km, R$/veículo-mês, R$/dia, R$/aluno.</t>
  </si>
  <si>
    <t xml:space="preserve">1 − vencedor ÷ teto.</t>
  </si>
  <si>
    <t xml:space="preserve">Exigências que pesaram (idade de frota, acessibilidade, garantia…).</t>
  </si>
  <si>
    <t xml:space="preserve">PE 036/2026 Holambra</t>
  </si>
  <si>
    <t xml:space="preserve">Escolar ônibus 59 lug</t>
  </si>
  <si>
    <t xml:space="preserve">SP / Holambra</t>
  </si>
  <si>
    <t xml:space="preserve">28/09/2026</t>
  </si>
  <si>
    <t xml:space="preserve">Sim</t>
  </si>
  <si>
    <t xml:space="preserve">9 linhas, 200 dias letivos</t>
  </si>
  <si>
    <t xml:space="preserve">CHECKLIST DE PREENCHIMENTO</t>
  </si>
  <si>
    <t xml:space="preserve">#</t>
  </si>
  <si>
    <t xml:space="preserve">Bloco</t>
  </si>
  <si>
    <t xml:space="preserve">Status</t>
  </si>
  <si>
    <t xml:space="preserve">Responsável / onde buscar</t>
  </si>
  <si>
    <t xml:space="preserve">1_Frota — modelos, valores, consumo, manutenção, seguro, licenças</t>
  </si>
  <si>
    <t xml:space="preserve">Não iniciado</t>
  </si>
  <si>
    <t xml:space="preserve">Frota / financeiro / oficina / Ituran</t>
  </si>
  <si>
    <t xml:space="preserve">2_MaoDeObra — funções, pisos, encargos, benefícios</t>
  </si>
  <si>
    <t xml:space="preserve">DP / contabilidade / CCT</t>
  </si>
  <si>
    <t xml:space="preserve">3_Jornada — regras e motoristas por veículo</t>
  </si>
  <si>
    <t xml:space="preserve">Operação / RH</t>
  </si>
  <si>
    <t xml:space="preserve">4_Indiretos — administração, garagem, supervisão</t>
  </si>
  <si>
    <t xml:space="preserve">Financeiro</t>
  </si>
  <si>
    <t xml:space="preserve">5_Tributos_Financeiro — alíquotas efetivas, prazos, capital de giro</t>
  </si>
  <si>
    <t xml:space="preserve">Contabilidade / financeiro</t>
  </si>
  <si>
    <t xml:space="preserve">6_Insumos — diesel, ARLA, consumíveis</t>
  </si>
  <si>
    <t xml:space="preserve">Compras / frota</t>
  </si>
  <si>
    <t xml:space="preserve">7_Pedagios_Rotas — praças e tarifas</t>
  </si>
  <si>
    <t xml:space="preserve">Operação / extrato da tag</t>
  </si>
  <si>
    <t xml:space="preserve">8_Regras_Azul — margens, reservas, limites</t>
  </si>
  <si>
    <t xml:space="preserve">Diretoria</t>
  </si>
  <si>
    <t xml:space="preserve">9_Historico_Contratos — previsto × realizado</t>
  </si>
  <si>
    <t xml:space="preserve">Financeiro / licitações</t>
  </si>
  <si>
    <t xml:space="preserve">10_Mercado — preços vencedores e concorrentes</t>
  </si>
  <si>
    <t xml:space="preserve">Licitações (+ levantamento PNCP pelo Claude)</t>
  </si>
  <si>
    <t xml:space="preserve">Quando as abas 1–6 e 8 estiverem pelo menos 'Parcial', já dá para montar a versão 1 do simulador; 9 e 10 entram na calibração.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</si>
</sst>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&quot;R$ &quot;#,##0.00"/>
    <numFmt numFmtId="167" formatCode="0.0%"/>
    <numFmt numFmtId="168" formatCode="#,##0.00"/>
    <numFmt numFmtId="169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8CBAD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4" hidden="false" customHeight="true" outlineLevel="0" collapsed="false">
      <c r="A1" s="1" t="s">
        <v>0</v>
      </c>
      <c r="B1" s="1"/>
    </row>
    <row r="3" customFormat="false" ht="63.75" hidden="false" customHeight="true" outlineLevel="0" collapsed="false">
      <c r="A3" s="2" t="s">
        <v>1</v>
      </c>
      <c r="B3" s="3" t="s">
        <v>2</v>
      </c>
    </row>
    <row r="4" customFormat="false" ht="63.75" hidden="false" customHeight="true" outlineLevel="0" collapsed="false">
      <c r="A4" s="2" t="s">
        <v>3</v>
      </c>
      <c r="B4" s="3" t="s">
        <v>4</v>
      </c>
    </row>
    <row r="5" customFormat="false" ht="31.5" hidden="false" customHeight="true" outlineLevel="0" collapsed="false">
      <c r="A5" s="2" t="s">
        <v>5</v>
      </c>
      <c r="B5" s="3" t="s">
        <v>6</v>
      </c>
    </row>
    <row r="6" customFormat="false" ht="63.75" hidden="false" customHeight="true" outlineLevel="0" collapsed="false">
      <c r="A6" s="2" t="s">
        <v>7</v>
      </c>
      <c r="B6" s="3" t="s">
        <v>8</v>
      </c>
    </row>
    <row r="7" customFormat="false" ht="31.5" hidden="false" customHeight="true" outlineLevel="0" collapsed="false">
      <c r="A7" s="2" t="s">
        <v>9</v>
      </c>
      <c r="B7" s="3" t="s">
        <v>10</v>
      </c>
    </row>
    <row r="8" customFormat="false" ht="31.5" hidden="false" customHeight="true" outlineLevel="0" collapsed="false">
      <c r="A8" s="2" t="s">
        <v>11</v>
      </c>
      <c r="B8" s="3" t="s">
        <v>12</v>
      </c>
    </row>
    <row r="9" customFormat="false" ht="31.5" hidden="false" customHeight="true" outlineLevel="0" collapsed="false">
      <c r="A9" s="2" t="s">
        <v>13</v>
      </c>
      <c r="B9" s="3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4" min="12" style="0" width="10"/>
    <col collapsed="false" customWidth="true" hidden="false" outlineLevel="0" max="16" min="15" style="0" width="11"/>
    <col collapsed="false" customWidth="true" hidden="false" outlineLevel="0" max="17" min="17" style="0" width="16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3"/>
    <col collapsed="false" customWidth="true" hidden="false" outlineLevel="0" max="21" min="21" style="0" width="14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12"/>
    <col collapsed="false" customWidth="true" hidden="false" outlineLevel="0" max="25" min="25" style="0" width="11"/>
    <col collapsed="false" customWidth="true" hidden="false" outlineLevel="0" max="26" min="26" style="0" width="30"/>
  </cols>
  <sheetData>
    <row r="1" customFormat="false" ht="24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43.5" hidden="false" customHeight="true" outlineLevel="0" collapsed="false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5" t="s">
        <v>17</v>
      </c>
    </row>
    <row r="4" customFormat="false" ht="33.75" hidden="false" customHeight="tru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  <c r="S4" s="6" t="s">
        <v>36</v>
      </c>
      <c r="T4" s="6" t="s">
        <v>37</v>
      </c>
      <c r="U4" s="6" t="s">
        <v>38</v>
      </c>
      <c r="V4" s="6" t="s">
        <v>39</v>
      </c>
      <c r="W4" s="6" t="s">
        <v>40</v>
      </c>
      <c r="X4" s="6" t="s">
        <v>41</v>
      </c>
      <c r="Y4" s="6" t="s">
        <v>42</v>
      </c>
      <c r="Z4" s="6" t="s">
        <v>43</v>
      </c>
    </row>
    <row r="5" customFormat="false" ht="120" hidden="false" customHeight="true" outlineLevel="0" collapsed="false">
      <c r="A5" s="7" t="s">
        <v>44</v>
      </c>
      <c r="B5" s="7" t="s">
        <v>45</v>
      </c>
      <c r="C5" s="7" t="s">
        <v>46</v>
      </c>
      <c r="D5" s="7" t="s">
        <v>47</v>
      </c>
      <c r="E5" s="7" t="s">
        <v>48</v>
      </c>
      <c r="F5" s="8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  <c r="L5" s="7" t="s">
        <v>55</v>
      </c>
      <c r="M5" s="8" t="s">
        <v>56</v>
      </c>
      <c r="N5" s="7" t="s">
        <v>57</v>
      </c>
      <c r="O5" s="7" t="s">
        <v>58</v>
      </c>
      <c r="P5" s="7" t="s">
        <v>59</v>
      </c>
      <c r="Q5" s="7" t="s">
        <v>60</v>
      </c>
      <c r="R5" s="7" t="s">
        <v>61</v>
      </c>
      <c r="S5" s="7" t="s">
        <v>62</v>
      </c>
      <c r="T5" s="7" t="s">
        <v>63</v>
      </c>
      <c r="U5" s="7" t="s">
        <v>64</v>
      </c>
      <c r="V5" s="7" t="s">
        <v>65</v>
      </c>
      <c r="W5" s="8" t="s">
        <v>66</v>
      </c>
      <c r="X5" s="8" t="s">
        <v>67</v>
      </c>
      <c r="Y5" s="8" t="s">
        <v>68</v>
      </c>
      <c r="Z5" s="8" t="s">
        <v>69</v>
      </c>
    </row>
    <row r="6" customFormat="false" ht="30" hidden="false" customHeight="true" outlineLevel="0" collapsed="false">
      <c r="A6" s="9" t="s">
        <v>70</v>
      </c>
      <c r="B6" s="9" t="s">
        <v>71</v>
      </c>
      <c r="C6" s="9" t="n">
        <v>2023</v>
      </c>
      <c r="D6" s="10" t="n">
        <v>12</v>
      </c>
      <c r="E6" s="10" t="n">
        <v>19</v>
      </c>
      <c r="F6" s="9" t="s">
        <v>72</v>
      </c>
      <c r="G6" s="10" t="n">
        <v>95000</v>
      </c>
      <c r="H6" s="11" t="n">
        <v>320000</v>
      </c>
      <c r="I6" s="11" t="n">
        <v>285000</v>
      </c>
      <c r="J6" s="9" t="s">
        <v>73</v>
      </c>
      <c r="K6" s="11" t="n">
        <v>6800</v>
      </c>
      <c r="L6" s="12" t="n">
        <v>0.18</v>
      </c>
      <c r="M6" s="10" t="n">
        <v>22</v>
      </c>
      <c r="N6" s="13" t="n">
        <v>8.7</v>
      </c>
      <c r="O6" s="9" t="s">
        <v>74</v>
      </c>
      <c r="P6" s="13" t="n">
        <v>0.42</v>
      </c>
      <c r="Q6" s="9" t="s">
        <v>75</v>
      </c>
      <c r="R6" s="10" t="n">
        <v>60000</v>
      </c>
      <c r="S6" s="11" t="n">
        <v>7800</v>
      </c>
      <c r="T6" s="11" t="n">
        <v>3900</v>
      </c>
      <c r="U6" s="11" t="n">
        <v>1800</v>
      </c>
      <c r="V6" s="11" t="n">
        <v>95</v>
      </c>
      <c r="W6" s="10" t="n">
        <v>6</v>
      </c>
      <c r="X6" s="12" t="n">
        <v>0.9</v>
      </c>
      <c r="Y6" s="12" t="n">
        <v>0.1</v>
      </c>
      <c r="Z6" s="9" t="s">
        <v>76</v>
      </c>
    </row>
    <row r="7" customFormat="false" ht="15" hidden="false" customHeight="false" outlineLevel="0" collapsed="false">
      <c r="A7" s="14"/>
      <c r="B7" s="14"/>
      <c r="C7" s="14"/>
      <c r="D7" s="15"/>
      <c r="E7" s="15"/>
      <c r="F7" s="14"/>
      <c r="G7" s="15"/>
      <c r="H7" s="16"/>
      <c r="I7" s="16"/>
      <c r="J7" s="14"/>
      <c r="K7" s="16"/>
      <c r="L7" s="17"/>
      <c r="M7" s="15"/>
      <c r="N7" s="18"/>
      <c r="O7" s="14"/>
      <c r="P7" s="18"/>
      <c r="Q7" s="14"/>
      <c r="R7" s="15"/>
      <c r="S7" s="16"/>
      <c r="T7" s="16"/>
      <c r="U7" s="16"/>
      <c r="V7" s="16"/>
      <c r="W7" s="15"/>
      <c r="X7" s="17"/>
      <c r="Y7" s="17"/>
      <c r="Z7" s="14"/>
    </row>
    <row r="8" customFormat="false" ht="15" hidden="false" customHeight="false" outlineLevel="0" collapsed="false">
      <c r="A8" s="14"/>
      <c r="B8" s="14"/>
      <c r="C8" s="14"/>
      <c r="D8" s="15"/>
      <c r="E8" s="15"/>
      <c r="F8" s="14"/>
      <c r="G8" s="15"/>
      <c r="H8" s="16"/>
      <c r="I8" s="16"/>
      <c r="J8" s="14"/>
      <c r="K8" s="16"/>
      <c r="L8" s="17"/>
      <c r="M8" s="15"/>
      <c r="N8" s="18"/>
      <c r="O8" s="14"/>
      <c r="P8" s="18"/>
      <c r="Q8" s="14"/>
      <c r="R8" s="15"/>
      <c r="S8" s="16"/>
      <c r="T8" s="16"/>
      <c r="U8" s="16"/>
      <c r="V8" s="16"/>
      <c r="W8" s="15"/>
      <c r="X8" s="17"/>
      <c r="Y8" s="17"/>
      <c r="Z8" s="14"/>
    </row>
    <row r="9" customFormat="false" ht="15" hidden="false" customHeight="false" outlineLevel="0" collapsed="false">
      <c r="A9" s="14"/>
      <c r="B9" s="14"/>
      <c r="C9" s="14"/>
      <c r="D9" s="15"/>
      <c r="E9" s="15"/>
      <c r="F9" s="14"/>
      <c r="G9" s="15"/>
      <c r="H9" s="16"/>
      <c r="I9" s="16"/>
      <c r="J9" s="14"/>
      <c r="K9" s="16"/>
      <c r="L9" s="17"/>
      <c r="M9" s="15"/>
      <c r="N9" s="18"/>
      <c r="O9" s="14"/>
      <c r="P9" s="18"/>
      <c r="Q9" s="14"/>
      <c r="R9" s="15"/>
      <c r="S9" s="16"/>
      <c r="T9" s="16"/>
      <c r="U9" s="16"/>
      <c r="V9" s="16"/>
      <c r="W9" s="15"/>
      <c r="X9" s="17"/>
      <c r="Y9" s="17"/>
      <c r="Z9" s="14"/>
    </row>
    <row r="10" customFormat="false" ht="15" hidden="false" customHeight="false" outlineLevel="0" collapsed="false">
      <c r="A10" s="14"/>
      <c r="B10" s="14"/>
      <c r="C10" s="14"/>
      <c r="D10" s="15"/>
      <c r="E10" s="15"/>
      <c r="F10" s="14"/>
      <c r="G10" s="15"/>
      <c r="H10" s="16"/>
      <c r="I10" s="16"/>
      <c r="J10" s="14"/>
      <c r="K10" s="16"/>
      <c r="L10" s="17"/>
      <c r="M10" s="15"/>
      <c r="N10" s="18"/>
      <c r="O10" s="14"/>
      <c r="P10" s="18"/>
      <c r="Q10" s="14"/>
      <c r="R10" s="15"/>
      <c r="S10" s="16"/>
      <c r="T10" s="16"/>
      <c r="U10" s="16"/>
      <c r="V10" s="16"/>
      <c r="W10" s="15"/>
      <c r="X10" s="17"/>
      <c r="Y10" s="17"/>
      <c r="Z10" s="14"/>
    </row>
    <row r="11" customFormat="false" ht="15" hidden="false" customHeight="false" outlineLevel="0" collapsed="false">
      <c r="A11" s="14"/>
      <c r="B11" s="14"/>
      <c r="C11" s="14"/>
      <c r="D11" s="15"/>
      <c r="E11" s="15"/>
      <c r="F11" s="14"/>
      <c r="G11" s="15"/>
      <c r="H11" s="16"/>
      <c r="I11" s="16"/>
      <c r="J11" s="14"/>
      <c r="K11" s="16"/>
      <c r="L11" s="17"/>
      <c r="M11" s="15"/>
      <c r="N11" s="18"/>
      <c r="O11" s="14"/>
      <c r="P11" s="18"/>
      <c r="Q11" s="14"/>
      <c r="R11" s="15"/>
      <c r="S11" s="16"/>
      <c r="T11" s="16"/>
      <c r="U11" s="16"/>
      <c r="V11" s="16"/>
      <c r="W11" s="15"/>
      <c r="X11" s="17"/>
      <c r="Y11" s="17"/>
      <c r="Z11" s="14"/>
    </row>
    <row r="12" customFormat="false" ht="15" hidden="false" customHeight="false" outlineLevel="0" collapsed="false">
      <c r="A12" s="14"/>
      <c r="B12" s="14"/>
      <c r="C12" s="14"/>
      <c r="D12" s="15"/>
      <c r="E12" s="15"/>
      <c r="F12" s="14"/>
      <c r="G12" s="15"/>
      <c r="H12" s="16"/>
      <c r="I12" s="16"/>
      <c r="J12" s="14"/>
      <c r="K12" s="16"/>
      <c r="L12" s="17"/>
      <c r="M12" s="15"/>
      <c r="N12" s="18"/>
      <c r="O12" s="14"/>
      <c r="P12" s="18"/>
      <c r="Q12" s="14"/>
      <c r="R12" s="15"/>
      <c r="S12" s="16"/>
      <c r="T12" s="16"/>
      <c r="U12" s="16"/>
      <c r="V12" s="16"/>
      <c r="W12" s="15"/>
      <c r="X12" s="17"/>
      <c r="Y12" s="17"/>
      <c r="Z12" s="14"/>
    </row>
    <row r="13" customFormat="false" ht="15" hidden="false" customHeight="false" outlineLevel="0" collapsed="false">
      <c r="A13" s="14"/>
      <c r="B13" s="14"/>
      <c r="C13" s="14"/>
      <c r="D13" s="15"/>
      <c r="E13" s="15"/>
      <c r="F13" s="14"/>
      <c r="G13" s="15"/>
      <c r="H13" s="16"/>
      <c r="I13" s="16"/>
      <c r="J13" s="14"/>
      <c r="K13" s="16"/>
      <c r="L13" s="17"/>
      <c r="M13" s="15"/>
      <c r="N13" s="18"/>
      <c r="O13" s="14"/>
      <c r="P13" s="18"/>
      <c r="Q13" s="14"/>
      <c r="R13" s="15"/>
      <c r="S13" s="16"/>
      <c r="T13" s="16"/>
      <c r="U13" s="16"/>
      <c r="V13" s="16"/>
      <c r="W13" s="15"/>
      <c r="X13" s="17"/>
      <c r="Y13" s="17"/>
      <c r="Z13" s="14"/>
    </row>
    <row r="14" customFormat="false" ht="15" hidden="false" customHeight="false" outlineLevel="0" collapsed="false">
      <c r="A14" s="14"/>
      <c r="B14" s="14"/>
      <c r="C14" s="14"/>
      <c r="D14" s="15"/>
      <c r="E14" s="15"/>
      <c r="F14" s="14"/>
      <c r="G14" s="15"/>
      <c r="H14" s="16"/>
      <c r="I14" s="16"/>
      <c r="J14" s="14"/>
      <c r="K14" s="16"/>
      <c r="L14" s="17"/>
      <c r="M14" s="15"/>
      <c r="N14" s="18"/>
      <c r="O14" s="14"/>
      <c r="P14" s="18"/>
      <c r="Q14" s="14"/>
      <c r="R14" s="15"/>
      <c r="S14" s="16"/>
      <c r="T14" s="16"/>
      <c r="U14" s="16"/>
      <c r="V14" s="16"/>
      <c r="W14" s="15"/>
      <c r="X14" s="17"/>
      <c r="Y14" s="17"/>
      <c r="Z14" s="14"/>
    </row>
    <row r="15" customFormat="false" ht="15" hidden="false" customHeight="false" outlineLevel="0" collapsed="false">
      <c r="A15" s="14"/>
      <c r="B15" s="14"/>
      <c r="C15" s="14"/>
      <c r="D15" s="15"/>
      <c r="E15" s="15"/>
      <c r="F15" s="14"/>
      <c r="G15" s="15"/>
      <c r="H15" s="16"/>
      <c r="I15" s="16"/>
      <c r="J15" s="14"/>
      <c r="K15" s="16"/>
      <c r="L15" s="17"/>
      <c r="M15" s="15"/>
      <c r="N15" s="18"/>
      <c r="O15" s="14"/>
      <c r="P15" s="18"/>
      <c r="Q15" s="14"/>
      <c r="R15" s="15"/>
      <c r="S15" s="16"/>
      <c r="T15" s="16"/>
      <c r="U15" s="16"/>
      <c r="V15" s="16"/>
      <c r="W15" s="15"/>
      <c r="X15" s="17"/>
      <c r="Y15" s="17"/>
      <c r="Z15" s="14"/>
    </row>
    <row r="16" customFormat="false" ht="15" hidden="false" customHeight="false" outlineLevel="0" collapsed="false">
      <c r="A16" s="14"/>
      <c r="B16" s="14"/>
      <c r="C16" s="14"/>
      <c r="D16" s="15"/>
      <c r="E16" s="15"/>
      <c r="F16" s="14"/>
      <c r="G16" s="15"/>
      <c r="H16" s="16"/>
      <c r="I16" s="16"/>
      <c r="J16" s="14"/>
      <c r="K16" s="16"/>
      <c r="L16" s="17"/>
      <c r="M16" s="15"/>
      <c r="N16" s="18"/>
      <c r="O16" s="14"/>
      <c r="P16" s="18"/>
      <c r="Q16" s="14"/>
      <c r="R16" s="15"/>
      <c r="S16" s="16"/>
      <c r="T16" s="16"/>
      <c r="U16" s="16"/>
      <c r="V16" s="16"/>
      <c r="W16" s="15"/>
      <c r="X16" s="17"/>
      <c r="Y16" s="17"/>
      <c r="Z16" s="14"/>
    </row>
    <row r="17" customFormat="false" ht="15" hidden="false" customHeight="false" outlineLevel="0" collapsed="false">
      <c r="A17" s="14"/>
      <c r="B17" s="14"/>
      <c r="C17" s="14"/>
      <c r="D17" s="15"/>
      <c r="E17" s="15"/>
      <c r="F17" s="14"/>
      <c r="G17" s="15"/>
      <c r="H17" s="16"/>
      <c r="I17" s="16"/>
      <c r="J17" s="14"/>
      <c r="K17" s="16"/>
      <c r="L17" s="17"/>
      <c r="M17" s="15"/>
      <c r="N17" s="18"/>
      <c r="O17" s="14"/>
      <c r="P17" s="18"/>
      <c r="Q17" s="14"/>
      <c r="R17" s="15"/>
      <c r="S17" s="16"/>
      <c r="T17" s="16"/>
      <c r="U17" s="16"/>
      <c r="V17" s="16"/>
      <c r="W17" s="15"/>
      <c r="X17" s="17"/>
      <c r="Y17" s="17"/>
      <c r="Z17" s="14"/>
    </row>
    <row r="18" customFormat="false" ht="15" hidden="false" customHeight="false" outlineLevel="0" collapsed="false">
      <c r="A18" s="14"/>
      <c r="B18" s="14"/>
      <c r="C18" s="14"/>
      <c r="D18" s="15"/>
      <c r="E18" s="15"/>
      <c r="F18" s="14"/>
      <c r="G18" s="15"/>
      <c r="H18" s="16"/>
      <c r="I18" s="16"/>
      <c r="J18" s="14"/>
      <c r="K18" s="16"/>
      <c r="L18" s="17"/>
      <c r="M18" s="15"/>
      <c r="N18" s="18"/>
      <c r="O18" s="14"/>
      <c r="P18" s="18"/>
      <c r="Q18" s="14"/>
      <c r="R18" s="15"/>
      <c r="S18" s="16"/>
      <c r="T18" s="16"/>
      <c r="U18" s="16"/>
      <c r="V18" s="16"/>
      <c r="W18" s="15"/>
      <c r="X18" s="17"/>
      <c r="Y18" s="17"/>
      <c r="Z18" s="14"/>
    </row>
    <row r="19" customFormat="false" ht="15" hidden="false" customHeight="false" outlineLevel="0" collapsed="false">
      <c r="A19" s="14"/>
      <c r="B19" s="14"/>
      <c r="C19" s="14"/>
      <c r="D19" s="15"/>
      <c r="E19" s="15"/>
      <c r="F19" s="14"/>
      <c r="G19" s="15"/>
      <c r="H19" s="16"/>
      <c r="I19" s="16"/>
      <c r="J19" s="14"/>
      <c r="K19" s="16"/>
      <c r="L19" s="17"/>
      <c r="M19" s="15"/>
      <c r="N19" s="18"/>
      <c r="O19" s="14"/>
      <c r="P19" s="18"/>
      <c r="Q19" s="14"/>
      <c r="R19" s="15"/>
      <c r="S19" s="16"/>
      <c r="T19" s="16"/>
      <c r="U19" s="16"/>
      <c r="V19" s="16"/>
      <c r="W19" s="15"/>
      <c r="X19" s="17"/>
      <c r="Y19" s="17"/>
      <c r="Z19" s="14"/>
    </row>
    <row r="20" customFormat="false" ht="15" hidden="false" customHeight="false" outlineLevel="0" collapsed="false">
      <c r="A20" s="14"/>
      <c r="B20" s="14"/>
      <c r="C20" s="14"/>
      <c r="D20" s="15"/>
      <c r="E20" s="15"/>
      <c r="F20" s="14"/>
      <c r="G20" s="15"/>
      <c r="H20" s="16"/>
      <c r="I20" s="16"/>
      <c r="J20" s="14"/>
      <c r="K20" s="16"/>
      <c r="L20" s="17"/>
      <c r="M20" s="15"/>
      <c r="N20" s="18"/>
      <c r="O20" s="14"/>
      <c r="P20" s="18"/>
      <c r="Q20" s="14"/>
      <c r="R20" s="15"/>
      <c r="S20" s="16"/>
      <c r="T20" s="16"/>
      <c r="U20" s="16"/>
      <c r="V20" s="16"/>
      <c r="W20" s="15"/>
      <c r="X20" s="17"/>
      <c r="Y20" s="17"/>
      <c r="Z20" s="14"/>
    </row>
    <row r="21" customFormat="false" ht="15" hidden="false" customHeight="false" outlineLevel="0" collapsed="false">
      <c r="A21" s="14"/>
      <c r="B21" s="14"/>
      <c r="C21" s="14"/>
      <c r="D21" s="15"/>
      <c r="E21" s="15"/>
      <c r="F21" s="14"/>
      <c r="G21" s="15"/>
      <c r="H21" s="16"/>
      <c r="I21" s="16"/>
      <c r="J21" s="14"/>
      <c r="K21" s="16"/>
      <c r="L21" s="17"/>
      <c r="M21" s="15"/>
      <c r="N21" s="18"/>
      <c r="O21" s="14"/>
      <c r="P21" s="18"/>
      <c r="Q21" s="14"/>
      <c r="R21" s="15"/>
      <c r="S21" s="16"/>
      <c r="T21" s="16"/>
      <c r="U21" s="16"/>
      <c r="V21" s="16"/>
      <c r="W21" s="15"/>
      <c r="X21" s="17"/>
      <c r="Y21" s="17"/>
      <c r="Z21" s="14"/>
    </row>
    <row r="22" customFormat="false" ht="15" hidden="false" customHeight="false" outlineLevel="0" collapsed="false">
      <c r="A22" s="14"/>
      <c r="B22" s="14"/>
      <c r="C22" s="14"/>
      <c r="D22" s="15"/>
      <c r="E22" s="15"/>
      <c r="F22" s="14"/>
      <c r="G22" s="15"/>
      <c r="H22" s="16"/>
      <c r="I22" s="16"/>
      <c r="J22" s="14"/>
      <c r="K22" s="16"/>
      <c r="L22" s="17"/>
      <c r="M22" s="15"/>
      <c r="N22" s="18"/>
      <c r="O22" s="14"/>
      <c r="P22" s="18"/>
      <c r="Q22" s="14"/>
      <c r="R22" s="15"/>
      <c r="S22" s="16"/>
      <c r="T22" s="16"/>
      <c r="U22" s="16"/>
      <c r="V22" s="16"/>
      <c r="W22" s="15"/>
      <c r="X22" s="17"/>
      <c r="Y22" s="17"/>
      <c r="Z22" s="14"/>
    </row>
    <row r="23" customFormat="false" ht="15" hidden="false" customHeight="false" outlineLevel="0" collapsed="false">
      <c r="A23" s="14"/>
      <c r="B23" s="14"/>
      <c r="C23" s="14"/>
      <c r="D23" s="15"/>
      <c r="E23" s="15"/>
      <c r="F23" s="14"/>
      <c r="G23" s="15"/>
      <c r="H23" s="16"/>
      <c r="I23" s="16"/>
      <c r="J23" s="14"/>
      <c r="K23" s="16"/>
      <c r="L23" s="17"/>
      <c r="M23" s="15"/>
      <c r="N23" s="18"/>
      <c r="O23" s="14"/>
      <c r="P23" s="18"/>
      <c r="Q23" s="14"/>
      <c r="R23" s="15"/>
      <c r="S23" s="16"/>
      <c r="T23" s="16"/>
      <c r="U23" s="16"/>
      <c r="V23" s="16"/>
      <c r="W23" s="15"/>
      <c r="X23" s="17"/>
      <c r="Y23" s="17"/>
      <c r="Z23" s="14"/>
    </row>
    <row r="24" customFormat="false" ht="15" hidden="false" customHeight="false" outlineLevel="0" collapsed="false">
      <c r="A24" s="14"/>
      <c r="B24" s="14"/>
      <c r="C24" s="14"/>
      <c r="D24" s="15"/>
      <c r="E24" s="15"/>
      <c r="F24" s="14"/>
      <c r="G24" s="15"/>
      <c r="H24" s="16"/>
      <c r="I24" s="16"/>
      <c r="J24" s="14"/>
      <c r="K24" s="16"/>
      <c r="L24" s="17"/>
      <c r="M24" s="15"/>
      <c r="N24" s="18"/>
      <c r="O24" s="14"/>
      <c r="P24" s="18"/>
      <c r="Q24" s="14"/>
      <c r="R24" s="15"/>
      <c r="S24" s="16"/>
      <c r="T24" s="16"/>
      <c r="U24" s="16"/>
      <c r="V24" s="16"/>
      <c r="W24" s="15"/>
      <c r="X24" s="17"/>
      <c r="Y24" s="17"/>
      <c r="Z24" s="14"/>
    </row>
    <row r="25" customFormat="false" ht="15" hidden="false" customHeight="false" outlineLevel="0" collapsed="false">
      <c r="A25" s="14"/>
      <c r="B25" s="14"/>
      <c r="C25" s="14"/>
      <c r="D25" s="15"/>
      <c r="E25" s="15"/>
      <c r="F25" s="14"/>
      <c r="G25" s="15"/>
      <c r="H25" s="16"/>
      <c r="I25" s="16"/>
      <c r="J25" s="14"/>
      <c r="K25" s="16"/>
      <c r="L25" s="17"/>
      <c r="M25" s="15"/>
      <c r="N25" s="18"/>
      <c r="O25" s="14"/>
      <c r="P25" s="18"/>
      <c r="Q25" s="14"/>
      <c r="R25" s="15"/>
      <c r="S25" s="16"/>
      <c r="T25" s="16"/>
      <c r="U25" s="16"/>
      <c r="V25" s="16"/>
      <c r="W25" s="15"/>
      <c r="X25" s="17"/>
      <c r="Y25" s="17"/>
      <c r="Z25" s="14"/>
    </row>
    <row r="26" customFormat="false" ht="15" hidden="false" customHeight="false" outlineLevel="0" collapsed="false">
      <c r="A26" s="14"/>
      <c r="B26" s="14"/>
      <c r="C26" s="14"/>
      <c r="D26" s="15"/>
      <c r="E26" s="15"/>
      <c r="F26" s="14"/>
      <c r="G26" s="15"/>
      <c r="H26" s="16"/>
      <c r="I26" s="16"/>
      <c r="J26" s="14"/>
      <c r="K26" s="16"/>
      <c r="L26" s="17"/>
      <c r="M26" s="15"/>
      <c r="N26" s="18"/>
      <c r="O26" s="14"/>
      <c r="P26" s="18"/>
      <c r="Q26" s="14"/>
      <c r="R26" s="15"/>
      <c r="S26" s="16"/>
      <c r="T26" s="16"/>
      <c r="U26" s="16"/>
      <c r="V26" s="16"/>
      <c r="W26" s="15"/>
      <c r="X26" s="17"/>
      <c r="Y26" s="17"/>
      <c r="Z26" s="14"/>
    </row>
    <row r="27" customFormat="false" ht="15" hidden="false" customHeight="false" outlineLevel="0" collapsed="false">
      <c r="A27" s="14"/>
      <c r="B27" s="14"/>
      <c r="C27" s="14"/>
      <c r="D27" s="15"/>
      <c r="E27" s="15"/>
      <c r="F27" s="14"/>
      <c r="G27" s="15"/>
      <c r="H27" s="16"/>
      <c r="I27" s="16"/>
      <c r="J27" s="14"/>
      <c r="K27" s="16"/>
      <c r="L27" s="17"/>
      <c r="M27" s="15"/>
      <c r="N27" s="18"/>
      <c r="O27" s="14"/>
      <c r="P27" s="18"/>
      <c r="Q27" s="14"/>
      <c r="R27" s="15"/>
      <c r="S27" s="16"/>
      <c r="T27" s="16"/>
      <c r="U27" s="16"/>
      <c r="V27" s="16"/>
      <c r="W27" s="15"/>
      <c r="X27" s="17"/>
      <c r="Y27" s="17"/>
      <c r="Z27" s="14"/>
    </row>
    <row r="28" customFormat="false" ht="15" hidden="false" customHeight="false" outlineLevel="0" collapsed="false">
      <c r="A28" s="14"/>
      <c r="B28" s="14"/>
      <c r="C28" s="14"/>
      <c r="D28" s="15"/>
      <c r="E28" s="15"/>
      <c r="F28" s="14"/>
      <c r="G28" s="15"/>
      <c r="H28" s="16"/>
      <c r="I28" s="16"/>
      <c r="J28" s="14"/>
      <c r="K28" s="16"/>
      <c r="L28" s="17"/>
      <c r="M28" s="15"/>
      <c r="N28" s="18"/>
      <c r="O28" s="14"/>
      <c r="P28" s="18"/>
      <c r="Q28" s="14"/>
      <c r="R28" s="15"/>
      <c r="S28" s="16"/>
      <c r="T28" s="16"/>
      <c r="U28" s="16"/>
      <c r="V28" s="16"/>
      <c r="W28" s="15"/>
      <c r="X28" s="17"/>
      <c r="Y28" s="17"/>
      <c r="Z28" s="14"/>
    </row>
    <row r="29" customFormat="false" ht="15" hidden="false" customHeight="false" outlineLevel="0" collapsed="false">
      <c r="A29" s="14"/>
      <c r="B29" s="14"/>
      <c r="C29" s="14"/>
      <c r="D29" s="15"/>
      <c r="E29" s="15"/>
      <c r="F29" s="14"/>
      <c r="G29" s="15"/>
      <c r="H29" s="16"/>
      <c r="I29" s="16"/>
      <c r="J29" s="14"/>
      <c r="K29" s="16"/>
      <c r="L29" s="17"/>
      <c r="M29" s="15"/>
      <c r="N29" s="18"/>
      <c r="O29" s="14"/>
      <c r="P29" s="18"/>
      <c r="Q29" s="14"/>
      <c r="R29" s="15"/>
      <c r="S29" s="16"/>
      <c r="T29" s="16"/>
      <c r="U29" s="16"/>
      <c r="V29" s="16"/>
      <c r="W29" s="15"/>
      <c r="X29" s="17"/>
      <c r="Y29" s="17"/>
      <c r="Z29" s="14"/>
    </row>
    <row r="30" customFormat="false" ht="15" hidden="false" customHeight="false" outlineLevel="0" collapsed="false">
      <c r="A30" s="14"/>
      <c r="B30" s="14"/>
      <c r="C30" s="14"/>
      <c r="D30" s="15"/>
      <c r="E30" s="15"/>
      <c r="F30" s="14"/>
      <c r="G30" s="15"/>
      <c r="H30" s="16"/>
      <c r="I30" s="16"/>
      <c r="J30" s="14"/>
      <c r="K30" s="16"/>
      <c r="L30" s="17"/>
      <c r="M30" s="15"/>
      <c r="N30" s="18"/>
      <c r="O30" s="14"/>
      <c r="P30" s="18"/>
      <c r="Q30" s="14"/>
      <c r="R30" s="15"/>
      <c r="S30" s="16"/>
      <c r="T30" s="16"/>
      <c r="U30" s="16"/>
      <c r="V30" s="16"/>
      <c r="W30" s="15"/>
      <c r="X30" s="17"/>
      <c r="Y30" s="17"/>
      <c r="Z30" s="14"/>
    </row>
    <row r="31" customFormat="false" ht="15" hidden="false" customHeight="false" outlineLevel="0" collapsed="false">
      <c r="A31" s="14"/>
      <c r="B31" s="14"/>
      <c r="C31" s="14"/>
      <c r="D31" s="15"/>
      <c r="E31" s="15"/>
      <c r="F31" s="14"/>
      <c r="G31" s="15"/>
      <c r="H31" s="16"/>
      <c r="I31" s="16"/>
      <c r="J31" s="14"/>
      <c r="K31" s="16"/>
      <c r="L31" s="17"/>
      <c r="M31" s="15"/>
      <c r="N31" s="18"/>
      <c r="O31" s="14"/>
      <c r="P31" s="18"/>
      <c r="Q31" s="14"/>
      <c r="R31" s="15"/>
      <c r="S31" s="16"/>
      <c r="T31" s="16"/>
      <c r="U31" s="16"/>
      <c r="V31" s="16"/>
      <c r="W31" s="15"/>
      <c r="X31" s="17"/>
      <c r="Y31" s="17"/>
      <c r="Z31" s="14"/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10" min="9" style="0" width="11"/>
    <col collapsed="false" customWidth="true" hidden="false" outlineLevel="0" max="12" min="11" style="0" width="13"/>
    <col collapsed="false" customWidth="true" hidden="false" outlineLevel="0" max="14" min="13" style="0" width="11"/>
    <col collapsed="false" customWidth="true" hidden="false" outlineLevel="0" max="17" min="15" style="0" width="12"/>
    <col collapsed="false" customWidth="true" hidden="false" outlineLevel="0" max="18" min="18" style="0" width="14"/>
    <col collapsed="false" customWidth="true" hidden="false" outlineLevel="0" max="19" min="19" style="0" width="24"/>
  </cols>
  <sheetData>
    <row r="1" customFormat="false" ht="24" hidden="false" customHeight="true" outlineLevel="0" collapsed="false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43.5" hidden="false" customHeight="true" outlineLevel="0" collapsed="false">
      <c r="A2" s="4" t="s">
        <v>78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customFormat="false" ht="15" hidden="false" customHeight="false" outlineLevel="0" collapsed="false">
      <c r="A3" s="5" t="s">
        <v>17</v>
      </c>
    </row>
    <row r="4" customFormat="false" ht="33.75" hidden="false" customHeight="true" outlineLevel="0" collapsed="false">
      <c r="A4" s="6" t="s">
        <v>79</v>
      </c>
      <c r="B4" s="6" t="s">
        <v>80</v>
      </c>
      <c r="C4" s="6" t="s">
        <v>81</v>
      </c>
      <c r="D4" s="6" t="s">
        <v>82</v>
      </c>
      <c r="E4" s="6" t="s">
        <v>83</v>
      </c>
      <c r="F4" s="6" t="s">
        <v>84</v>
      </c>
      <c r="G4" s="6" t="s">
        <v>85</v>
      </c>
      <c r="H4" s="6" t="s">
        <v>86</v>
      </c>
      <c r="I4" s="6" t="s">
        <v>87</v>
      </c>
      <c r="J4" s="6" t="s">
        <v>88</v>
      </c>
      <c r="K4" s="6" t="s">
        <v>89</v>
      </c>
      <c r="L4" s="6" t="s">
        <v>90</v>
      </c>
      <c r="M4" s="6" t="s">
        <v>91</v>
      </c>
      <c r="N4" s="6" t="s">
        <v>92</v>
      </c>
      <c r="O4" s="6" t="s">
        <v>93</v>
      </c>
      <c r="P4" s="6" t="s">
        <v>94</v>
      </c>
      <c r="Q4" s="6" t="s">
        <v>95</v>
      </c>
      <c r="R4" s="6" t="s">
        <v>96</v>
      </c>
      <c r="S4" s="6" t="s">
        <v>43</v>
      </c>
    </row>
    <row r="5" customFormat="false" ht="120" hidden="false" customHeight="true" outlineLevel="0" collapsed="false">
      <c r="A5" s="7" t="s">
        <v>97</v>
      </c>
      <c r="B5" s="7" t="s">
        <v>98</v>
      </c>
      <c r="C5" s="7" t="s">
        <v>99</v>
      </c>
      <c r="D5" s="7" t="s">
        <v>100</v>
      </c>
      <c r="E5" s="8" t="s">
        <v>101</v>
      </c>
      <c r="F5" s="7" t="s">
        <v>102</v>
      </c>
      <c r="G5" s="8" t="s">
        <v>103</v>
      </c>
      <c r="H5" s="7" t="s">
        <v>104</v>
      </c>
      <c r="I5" s="7" t="s">
        <v>105</v>
      </c>
      <c r="J5" s="8"/>
      <c r="K5" s="7" t="s">
        <v>106</v>
      </c>
      <c r="L5" s="8" t="s">
        <v>107</v>
      </c>
      <c r="M5" s="8"/>
      <c r="N5" s="7" t="s">
        <v>108</v>
      </c>
      <c r="O5" s="7" t="s">
        <v>109</v>
      </c>
      <c r="P5" s="7" t="s">
        <v>110</v>
      </c>
      <c r="Q5" s="8" t="s">
        <v>111</v>
      </c>
      <c r="R5" s="8" t="s">
        <v>112</v>
      </c>
      <c r="S5" s="8"/>
    </row>
    <row r="6" customFormat="false" ht="30" hidden="false" customHeight="true" outlineLevel="0" collapsed="false">
      <c r="A6" s="9" t="s">
        <v>113</v>
      </c>
      <c r="B6" s="9" t="s">
        <v>114</v>
      </c>
      <c r="C6" s="9" t="s">
        <v>115</v>
      </c>
      <c r="D6" s="11" t="n">
        <v>3450</v>
      </c>
      <c r="E6" s="11" t="n">
        <v>0</v>
      </c>
      <c r="F6" s="12" t="n">
        <v>0.14</v>
      </c>
      <c r="G6" s="12" t="n">
        <v>0.03</v>
      </c>
      <c r="H6" s="12" t="n">
        <v>0.68</v>
      </c>
      <c r="I6" s="11" t="n">
        <v>660</v>
      </c>
      <c r="J6" s="11" t="n">
        <v>210</v>
      </c>
      <c r="K6" s="11" t="n">
        <v>190</v>
      </c>
      <c r="L6" s="11" t="n">
        <v>0</v>
      </c>
      <c r="M6" s="11" t="n">
        <v>12</v>
      </c>
      <c r="N6" s="11" t="n">
        <v>55</v>
      </c>
      <c r="O6" s="11" t="n">
        <v>45</v>
      </c>
      <c r="P6" s="12" t="n">
        <v>0.18</v>
      </c>
      <c r="Q6" s="12" t="n">
        <v>0.25</v>
      </c>
      <c r="R6" s="11" t="n">
        <v>8900</v>
      </c>
      <c r="S6" s="9" t="s">
        <v>116</v>
      </c>
    </row>
    <row r="7" customFormat="false" ht="15" hidden="false" customHeight="false" outlineLevel="0" collapsed="false">
      <c r="A7" s="14"/>
      <c r="B7" s="14"/>
      <c r="C7" s="14"/>
      <c r="D7" s="16"/>
      <c r="E7" s="16"/>
      <c r="F7" s="17"/>
      <c r="G7" s="17"/>
      <c r="H7" s="17"/>
      <c r="I7" s="16"/>
      <c r="J7" s="16"/>
      <c r="K7" s="16"/>
      <c r="L7" s="16"/>
      <c r="M7" s="16"/>
      <c r="N7" s="16"/>
      <c r="O7" s="16"/>
      <c r="P7" s="17"/>
      <c r="Q7" s="17"/>
      <c r="R7" s="16"/>
      <c r="S7" s="14"/>
    </row>
    <row r="8" customFormat="false" ht="15" hidden="false" customHeight="false" outlineLevel="0" collapsed="false">
      <c r="A8" s="14"/>
      <c r="B8" s="14"/>
      <c r="C8" s="14"/>
      <c r="D8" s="16"/>
      <c r="E8" s="16"/>
      <c r="F8" s="17"/>
      <c r="G8" s="17"/>
      <c r="H8" s="17"/>
      <c r="I8" s="16"/>
      <c r="J8" s="16"/>
      <c r="K8" s="16"/>
      <c r="L8" s="16"/>
      <c r="M8" s="16"/>
      <c r="N8" s="16"/>
      <c r="O8" s="16"/>
      <c r="P8" s="17"/>
      <c r="Q8" s="17"/>
      <c r="R8" s="16"/>
      <c r="S8" s="14"/>
    </row>
    <row r="9" customFormat="false" ht="15" hidden="false" customHeight="false" outlineLevel="0" collapsed="false">
      <c r="A9" s="14"/>
      <c r="B9" s="14"/>
      <c r="C9" s="14"/>
      <c r="D9" s="16"/>
      <c r="E9" s="16"/>
      <c r="F9" s="17"/>
      <c r="G9" s="17"/>
      <c r="H9" s="17"/>
      <c r="I9" s="16"/>
      <c r="J9" s="16"/>
      <c r="K9" s="16"/>
      <c r="L9" s="16"/>
      <c r="M9" s="16"/>
      <c r="N9" s="16"/>
      <c r="O9" s="16"/>
      <c r="P9" s="17"/>
      <c r="Q9" s="17"/>
      <c r="R9" s="16"/>
      <c r="S9" s="14"/>
    </row>
    <row r="10" customFormat="false" ht="15" hidden="false" customHeight="false" outlineLevel="0" collapsed="false">
      <c r="A10" s="14"/>
      <c r="B10" s="14"/>
      <c r="C10" s="14"/>
      <c r="D10" s="16"/>
      <c r="E10" s="16"/>
      <c r="F10" s="17"/>
      <c r="G10" s="17"/>
      <c r="H10" s="17"/>
      <c r="I10" s="16"/>
      <c r="J10" s="16"/>
      <c r="K10" s="16"/>
      <c r="L10" s="16"/>
      <c r="M10" s="16"/>
      <c r="N10" s="16"/>
      <c r="O10" s="16"/>
      <c r="P10" s="17"/>
      <c r="Q10" s="17"/>
      <c r="R10" s="16"/>
      <c r="S10" s="14"/>
    </row>
    <row r="11" customFormat="false" ht="15" hidden="false" customHeight="false" outlineLevel="0" collapsed="false">
      <c r="A11" s="14"/>
      <c r="B11" s="14"/>
      <c r="C11" s="14"/>
      <c r="D11" s="16"/>
      <c r="E11" s="16"/>
      <c r="F11" s="17"/>
      <c r="G11" s="17"/>
      <c r="H11" s="17"/>
      <c r="I11" s="16"/>
      <c r="J11" s="16"/>
      <c r="K11" s="16"/>
      <c r="L11" s="16"/>
      <c r="M11" s="16"/>
      <c r="N11" s="16"/>
      <c r="O11" s="16"/>
      <c r="P11" s="17"/>
      <c r="Q11" s="17"/>
      <c r="R11" s="16"/>
      <c r="S11" s="14"/>
    </row>
    <row r="12" customFormat="false" ht="15" hidden="false" customHeight="false" outlineLevel="0" collapsed="false">
      <c r="A12" s="14"/>
      <c r="B12" s="14"/>
      <c r="C12" s="14"/>
      <c r="D12" s="16"/>
      <c r="E12" s="16"/>
      <c r="F12" s="17"/>
      <c r="G12" s="17"/>
      <c r="H12" s="17"/>
      <c r="I12" s="16"/>
      <c r="J12" s="16"/>
      <c r="K12" s="16"/>
      <c r="L12" s="16"/>
      <c r="M12" s="16"/>
      <c r="N12" s="16"/>
      <c r="O12" s="16"/>
      <c r="P12" s="17"/>
      <c r="Q12" s="17"/>
      <c r="R12" s="16"/>
      <c r="S12" s="14"/>
    </row>
    <row r="13" customFormat="false" ht="15" hidden="false" customHeight="false" outlineLevel="0" collapsed="false">
      <c r="A13" s="14"/>
      <c r="B13" s="14"/>
      <c r="C13" s="14"/>
      <c r="D13" s="16"/>
      <c r="E13" s="16"/>
      <c r="F13" s="17"/>
      <c r="G13" s="17"/>
      <c r="H13" s="17"/>
      <c r="I13" s="16"/>
      <c r="J13" s="16"/>
      <c r="K13" s="16"/>
      <c r="L13" s="16"/>
      <c r="M13" s="16"/>
      <c r="N13" s="16"/>
      <c r="O13" s="16"/>
      <c r="P13" s="17"/>
      <c r="Q13" s="17"/>
      <c r="R13" s="16"/>
      <c r="S13" s="14"/>
    </row>
    <row r="14" customFormat="false" ht="15" hidden="false" customHeight="false" outlineLevel="0" collapsed="false">
      <c r="A14" s="14"/>
      <c r="B14" s="14"/>
      <c r="C14" s="14"/>
      <c r="D14" s="16"/>
      <c r="E14" s="16"/>
      <c r="F14" s="17"/>
      <c r="G14" s="17"/>
      <c r="H14" s="17"/>
      <c r="I14" s="16"/>
      <c r="J14" s="16"/>
      <c r="K14" s="16"/>
      <c r="L14" s="16"/>
      <c r="M14" s="16"/>
      <c r="N14" s="16"/>
      <c r="O14" s="16"/>
      <c r="P14" s="17"/>
      <c r="Q14" s="17"/>
      <c r="R14" s="16"/>
      <c r="S14" s="14"/>
    </row>
    <row r="15" customFormat="false" ht="15" hidden="false" customHeight="false" outlineLevel="0" collapsed="false">
      <c r="A15" s="14"/>
      <c r="B15" s="14"/>
      <c r="C15" s="14"/>
      <c r="D15" s="16"/>
      <c r="E15" s="16"/>
      <c r="F15" s="17"/>
      <c r="G15" s="17"/>
      <c r="H15" s="17"/>
      <c r="I15" s="16"/>
      <c r="J15" s="16"/>
      <c r="K15" s="16"/>
      <c r="L15" s="16"/>
      <c r="M15" s="16"/>
      <c r="N15" s="16"/>
      <c r="O15" s="16"/>
      <c r="P15" s="17"/>
      <c r="Q15" s="17"/>
      <c r="R15" s="16"/>
      <c r="S15" s="14"/>
    </row>
    <row r="16" customFormat="false" ht="15" hidden="false" customHeight="false" outlineLevel="0" collapsed="false">
      <c r="A16" s="14"/>
      <c r="B16" s="14"/>
      <c r="C16" s="14"/>
      <c r="D16" s="16"/>
      <c r="E16" s="16"/>
      <c r="F16" s="17"/>
      <c r="G16" s="17"/>
      <c r="H16" s="17"/>
      <c r="I16" s="16"/>
      <c r="J16" s="16"/>
      <c r="K16" s="16"/>
      <c r="L16" s="16"/>
      <c r="M16" s="16"/>
      <c r="N16" s="16"/>
      <c r="O16" s="16"/>
      <c r="P16" s="17"/>
      <c r="Q16" s="17"/>
      <c r="R16" s="16"/>
      <c r="S16" s="14"/>
    </row>
    <row r="17" customFormat="false" ht="15" hidden="false" customHeight="false" outlineLevel="0" collapsed="false">
      <c r="A17" s="14"/>
      <c r="B17" s="14"/>
      <c r="C17" s="14"/>
      <c r="D17" s="16"/>
      <c r="E17" s="16"/>
      <c r="F17" s="17"/>
      <c r="G17" s="17"/>
      <c r="H17" s="17"/>
      <c r="I17" s="16"/>
      <c r="J17" s="16"/>
      <c r="K17" s="16"/>
      <c r="L17" s="16"/>
      <c r="M17" s="16"/>
      <c r="N17" s="16"/>
      <c r="O17" s="16"/>
      <c r="P17" s="17"/>
      <c r="Q17" s="17"/>
      <c r="R17" s="16"/>
      <c r="S17" s="14"/>
    </row>
    <row r="18" customFormat="false" ht="15" hidden="false" customHeight="false" outlineLevel="0" collapsed="false">
      <c r="A18" s="14"/>
      <c r="B18" s="14"/>
      <c r="C18" s="14"/>
      <c r="D18" s="16"/>
      <c r="E18" s="16"/>
      <c r="F18" s="17"/>
      <c r="G18" s="17"/>
      <c r="H18" s="17"/>
      <c r="I18" s="16"/>
      <c r="J18" s="16"/>
      <c r="K18" s="16"/>
      <c r="L18" s="16"/>
      <c r="M18" s="16"/>
      <c r="N18" s="16"/>
      <c r="O18" s="16"/>
      <c r="P18" s="17"/>
      <c r="Q18" s="17"/>
      <c r="R18" s="16"/>
      <c r="S18" s="14"/>
    </row>
    <row r="19" customFormat="false" ht="15" hidden="false" customHeight="false" outlineLevel="0" collapsed="false">
      <c r="A19" s="14"/>
      <c r="B19" s="14"/>
      <c r="C19" s="14"/>
      <c r="D19" s="16"/>
      <c r="E19" s="16"/>
      <c r="F19" s="17"/>
      <c r="G19" s="17"/>
      <c r="H19" s="17"/>
      <c r="I19" s="16"/>
      <c r="J19" s="16"/>
      <c r="K19" s="16"/>
      <c r="L19" s="16"/>
      <c r="M19" s="16"/>
      <c r="N19" s="16"/>
      <c r="O19" s="16"/>
      <c r="P19" s="17"/>
      <c r="Q19" s="17"/>
      <c r="R19" s="16"/>
      <c r="S19" s="14"/>
    </row>
    <row r="20" customFormat="false" ht="15" hidden="false" customHeight="false" outlineLevel="0" collapsed="false">
      <c r="A20" s="14"/>
      <c r="B20" s="14"/>
      <c r="C20" s="14"/>
      <c r="D20" s="16"/>
      <c r="E20" s="16"/>
      <c r="F20" s="17"/>
      <c r="G20" s="17"/>
      <c r="H20" s="17"/>
      <c r="I20" s="16"/>
      <c r="J20" s="16"/>
      <c r="K20" s="16"/>
      <c r="L20" s="16"/>
      <c r="M20" s="16"/>
      <c r="N20" s="16"/>
      <c r="O20" s="16"/>
      <c r="P20" s="17"/>
      <c r="Q20" s="17"/>
      <c r="R20" s="16"/>
      <c r="S20" s="14"/>
    </row>
    <row r="21" customFormat="false" ht="15" hidden="false" customHeight="false" outlineLevel="0" collapsed="false">
      <c r="A21" s="14"/>
      <c r="B21" s="14"/>
      <c r="C21" s="14"/>
      <c r="D21" s="16"/>
      <c r="E21" s="16"/>
      <c r="F21" s="17"/>
      <c r="G21" s="17"/>
      <c r="H21" s="17"/>
      <c r="I21" s="16"/>
      <c r="J21" s="16"/>
      <c r="K21" s="16"/>
      <c r="L21" s="16"/>
      <c r="M21" s="16"/>
      <c r="N21" s="16"/>
      <c r="O21" s="16"/>
      <c r="P21" s="17"/>
      <c r="Q21" s="17"/>
      <c r="R21" s="16"/>
      <c r="S21" s="14"/>
    </row>
    <row r="22" customFormat="false" ht="15" hidden="false" customHeight="false" outlineLevel="0" collapsed="false">
      <c r="A22" s="14"/>
      <c r="B22" s="14"/>
      <c r="C22" s="14"/>
      <c r="D22" s="16"/>
      <c r="E22" s="16"/>
      <c r="F22" s="17"/>
      <c r="G22" s="17"/>
      <c r="H22" s="17"/>
      <c r="I22" s="16"/>
      <c r="J22" s="16"/>
      <c r="K22" s="16"/>
      <c r="L22" s="16"/>
      <c r="M22" s="16"/>
      <c r="N22" s="16"/>
      <c r="O22" s="16"/>
      <c r="P22" s="17"/>
      <c r="Q22" s="17"/>
      <c r="R22" s="16"/>
      <c r="S22" s="14"/>
    </row>
    <row r="23" customFormat="false" ht="15" hidden="false" customHeight="false" outlineLevel="0" collapsed="false">
      <c r="A23" s="14"/>
      <c r="B23" s="14"/>
      <c r="C23" s="14"/>
      <c r="D23" s="16"/>
      <c r="E23" s="16"/>
      <c r="F23" s="17"/>
      <c r="G23" s="17"/>
      <c r="H23" s="17"/>
      <c r="I23" s="16"/>
      <c r="J23" s="16"/>
      <c r="K23" s="16"/>
      <c r="L23" s="16"/>
      <c r="M23" s="16"/>
      <c r="N23" s="16"/>
      <c r="O23" s="16"/>
      <c r="P23" s="17"/>
      <c r="Q23" s="17"/>
      <c r="R23" s="16"/>
      <c r="S23" s="14"/>
    </row>
    <row r="24" customFormat="false" ht="15" hidden="false" customHeight="false" outlineLevel="0" collapsed="false">
      <c r="A24" s="14"/>
      <c r="B24" s="14"/>
      <c r="C24" s="14"/>
      <c r="D24" s="16"/>
      <c r="E24" s="16"/>
      <c r="F24" s="17"/>
      <c r="G24" s="17"/>
      <c r="H24" s="17"/>
      <c r="I24" s="16"/>
      <c r="J24" s="16"/>
      <c r="K24" s="16"/>
      <c r="L24" s="16"/>
      <c r="M24" s="16"/>
      <c r="N24" s="16"/>
      <c r="O24" s="16"/>
      <c r="P24" s="17"/>
      <c r="Q24" s="17"/>
      <c r="R24" s="16"/>
      <c r="S24" s="14"/>
    </row>
    <row r="25" customFormat="false" ht="15" hidden="false" customHeight="false" outlineLevel="0" collapsed="false">
      <c r="A25" s="14"/>
      <c r="B25" s="14"/>
      <c r="C25" s="14"/>
      <c r="D25" s="16"/>
      <c r="E25" s="16"/>
      <c r="F25" s="17"/>
      <c r="G25" s="17"/>
      <c r="H25" s="17"/>
      <c r="I25" s="16"/>
      <c r="J25" s="16"/>
      <c r="K25" s="16"/>
      <c r="L25" s="16"/>
      <c r="M25" s="16"/>
      <c r="N25" s="16"/>
      <c r="O25" s="16"/>
      <c r="P25" s="17"/>
      <c r="Q25" s="17"/>
      <c r="R25" s="16"/>
      <c r="S25" s="14"/>
    </row>
    <row r="26" customFormat="false" ht="15" hidden="false" customHeight="false" outlineLevel="0" collapsed="false">
      <c r="A26" s="14"/>
      <c r="B26" s="14"/>
      <c r="C26" s="14"/>
      <c r="D26" s="16"/>
      <c r="E26" s="16"/>
      <c r="F26" s="17"/>
      <c r="G26" s="17"/>
      <c r="H26" s="17"/>
      <c r="I26" s="16"/>
      <c r="J26" s="16"/>
      <c r="K26" s="16"/>
      <c r="L26" s="16"/>
      <c r="M26" s="16"/>
      <c r="N26" s="16"/>
      <c r="O26" s="16"/>
      <c r="P26" s="17"/>
      <c r="Q26" s="17"/>
      <c r="R26" s="16"/>
      <c r="S26" s="14"/>
    </row>
    <row r="27" customFormat="false" ht="15" hidden="false" customHeight="false" outlineLevel="0" collapsed="false">
      <c r="A27" s="14"/>
      <c r="B27" s="14"/>
      <c r="C27" s="14"/>
      <c r="D27" s="16"/>
      <c r="E27" s="16"/>
      <c r="F27" s="17"/>
      <c r="G27" s="17"/>
      <c r="H27" s="17"/>
      <c r="I27" s="16"/>
      <c r="J27" s="16"/>
      <c r="K27" s="16"/>
      <c r="L27" s="16"/>
      <c r="M27" s="16"/>
      <c r="N27" s="16"/>
      <c r="O27" s="16"/>
      <c r="P27" s="17"/>
      <c r="Q27" s="17"/>
      <c r="R27" s="16"/>
      <c r="S27" s="14"/>
    </row>
    <row r="28" customFormat="false" ht="15" hidden="false" customHeight="false" outlineLevel="0" collapsed="false">
      <c r="A28" s="14"/>
      <c r="B28" s="14"/>
      <c r="C28" s="14"/>
      <c r="D28" s="16"/>
      <c r="E28" s="16"/>
      <c r="F28" s="17"/>
      <c r="G28" s="17"/>
      <c r="H28" s="17"/>
      <c r="I28" s="16"/>
      <c r="J28" s="16"/>
      <c r="K28" s="16"/>
      <c r="L28" s="16"/>
      <c r="M28" s="16"/>
      <c r="N28" s="16"/>
      <c r="O28" s="16"/>
      <c r="P28" s="17"/>
      <c r="Q28" s="17"/>
      <c r="R28" s="16"/>
      <c r="S28" s="14"/>
    </row>
    <row r="29" customFormat="false" ht="15" hidden="false" customHeight="false" outlineLevel="0" collapsed="false">
      <c r="A29" s="14"/>
      <c r="B29" s="14"/>
      <c r="C29" s="14"/>
      <c r="D29" s="16"/>
      <c r="E29" s="16"/>
      <c r="F29" s="17"/>
      <c r="G29" s="17"/>
      <c r="H29" s="17"/>
      <c r="I29" s="16"/>
      <c r="J29" s="16"/>
      <c r="K29" s="16"/>
      <c r="L29" s="16"/>
      <c r="M29" s="16"/>
      <c r="N29" s="16"/>
      <c r="O29" s="16"/>
      <c r="P29" s="17"/>
      <c r="Q29" s="17"/>
      <c r="R29" s="16"/>
      <c r="S29" s="14"/>
    </row>
    <row r="30" customFormat="false" ht="15" hidden="false" customHeight="false" outlineLevel="0" collapsed="false">
      <c r="A30" s="14"/>
      <c r="B30" s="14"/>
      <c r="C30" s="14"/>
      <c r="D30" s="16"/>
      <c r="E30" s="16"/>
      <c r="F30" s="17"/>
      <c r="G30" s="17"/>
      <c r="H30" s="17"/>
      <c r="I30" s="16"/>
      <c r="J30" s="16"/>
      <c r="K30" s="16"/>
      <c r="L30" s="16"/>
      <c r="M30" s="16"/>
      <c r="N30" s="16"/>
      <c r="O30" s="16"/>
      <c r="P30" s="17"/>
      <c r="Q30" s="17"/>
      <c r="R30" s="16"/>
      <c r="S30" s="14"/>
    </row>
    <row r="31" customFormat="false" ht="15" hidden="false" customHeight="false" outlineLevel="0" collapsed="false">
      <c r="A31" s="14"/>
      <c r="B31" s="14"/>
      <c r="C31" s="14"/>
      <c r="D31" s="16"/>
      <c r="E31" s="16"/>
      <c r="F31" s="17"/>
      <c r="G31" s="17"/>
      <c r="H31" s="17"/>
      <c r="I31" s="16"/>
      <c r="J31" s="16"/>
      <c r="K31" s="16"/>
      <c r="L31" s="16"/>
      <c r="M31" s="16"/>
      <c r="N31" s="16"/>
      <c r="O31" s="16"/>
      <c r="P31" s="17"/>
      <c r="Q31" s="17"/>
      <c r="R31" s="16"/>
      <c r="S31" s="14"/>
    </row>
  </sheetData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26"/>
  </cols>
  <sheetData>
    <row r="1" customFormat="false" ht="24" hidden="false" customHeight="true" outlineLevel="0" collapsed="false">
      <c r="A1" s="1" t="s">
        <v>117</v>
      </c>
      <c r="B1" s="1"/>
      <c r="C1" s="1"/>
      <c r="D1" s="1"/>
      <c r="E1" s="1"/>
    </row>
    <row r="2" customFormat="false" ht="43.5" hidden="false" customHeight="true" outlineLevel="0" collapsed="false">
      <c r="A2" s="4" t="s">
        <v>118</v>
      </c>
      <c r="B2" s="4"/>
      <c r="C2" s="4"/>
      <c r="D2" s="4"/>
      <c r="E2" s="4"/>
    </row>
    <row r="4" customFormat="false" ht="23.85" hidden="false" customHeight="false" outlineLevel="0" collapsed="false">
      <c r="A4" s="6" t="s">
        <v>119</v>
      </c>
      <c r="B4" s="6" t="s">
        <v>120</v>
      </c>
      <c r="C4" s="6" t="s">
        <v>121</v>
      </c>
      <c r="D4" s="6" t="s">
        <v>122</v>
      </c>
      <c r="E4" s="6" t="s">
        <v>123</v>
      </c>
    </row>
    <row r="5" customFormat="false" ht="15" hidden="false" customHeight="false" outlineLevel="0" collapsed="false">
      <c r="A5" s="19" t="s">
        <v>124</v>
      </c>
      <c r="B5" s="20"/>
      <c r="C5" s="20"/>
      <c r="D5" s="20"/>
      <c r="E5" s="20"/>
    </row>
    <row r="6" customFormat="false" ht="30" hidden="false" customHeight="true" outlineLevel="0" collapsed="false">
      <c r="A6" s="2" t="s">
        <v>125</v>
      </c>
      <c r="B6" s="21" t="s">
        <v>126</v>
      </c>
      <c r="C6" s="15"/>
      <c r="D6" s="22" t="s">
        <v>127</v>
      </c>
      <c r="E6" s="10" t="n">
        <v>44</v>
      </c>
    </row>
    <row r="7" customFormat="false" ht="30" hidden="false" customHeight="true" outlineLevel="0" collapsed="false">
      <c r="A7" s="2" t="s">
        <v>128</v>
      </c>
      <c r="B7" s="21" t="s">
        <v>129</v>
      </c>
      <c r="C7" s="14"/>
      <c r="D7" s="22" t="s">
        <v>130</v>
      </c>
      <c r="E7" s="9" t="s">
        <v>131</v>
      </c>
    </row>
    <row r="8" customFormat="false" ht="30" hidden="false" customHeight="true" outlineLevel="0" collapsed="false">
      <c r="A8" s="2" t="s">
        <v>132</v>
      </c>
      <c r="B8" s="21" t="s">
        <v>126</v>
      </c>
      <c r="C8" s="18"/>
      <c r="D8" s="22" t="s">
        <v>133</v>
      </c>
      <c r="E8" s="13" t="n">
        <v>8</v>
      </c>
    </row>
    <row r="9" customFormat="false" ht="30" hidden="false" customHeight="true" outlineLevel="0" collapsed="false">
      <c r="A9" s="2" t="s">
        <v>134</v>
      </c>
      <c r="B9" s="21" t="s">
        <v>135</v>
      </c>
      <c r="C9" s="17"/>
      <c r="D9" s="22" t="s">
        <v>136</v>
      </c>
      <c r="E9" s="12" t="n">
        <v>0.5</v>
      </c>
    </row>
    <row r="10" customFormat="false" ht="30" hidden="false" customHeight="true" outlineLevel="0" collapsed="false">
      <c r="A10" s="2" t="s">
        <v>137</v>
      </c>
      <c r="B10" s="21" t="s">
        <v>135</v>
      </c>
      <c r="C10" s="17"/>
      <c r="D10" s="22" t="s">
        <v>138</v>
      </c>
      <c r="E10" s="12" t="n">
        <v>0.2</v>
      </c>
    </row>
    <row r="11" customFormat="false" ht="30" hidden="false" customHeight="true" outlineLevel="0" collapsed="false">
      <c r="A11" s="3" t="s">
        <v>139</v>
      </c>
      <c r="B11" s="21" t="s">
        <v>126</v>
      </c>
      <c r="C11" s="18"/>
      <c r="D11" s="22" t="s">
        <v>140</v>
      </c>
      <c r="E11" s="13" t="n">
        <v>1</v>
      </c>
    </row>
    <row r="12" customFormat="false" ht="30" hidden="false" customHeight="true" outlineLevel="0" collapsed="false">
      <c r="A12" s="3" t="s">
        <v>141</v>
      </c>
      <c r="B12" s="21" t="s">
        <v>142</v>
      </c>
      <c r="C12" s="14"/>
      <c r="D12" s="22" t="s">
        <v>143</v>
      </c>
      <c r="E12" s="9" t="s">
        <v>72</v>
      </c>
    </row>
    <row r="14" customFormat="false" ht="15" hidden="false" customHeight="false" outlineLevel="0" collapsed="false">
      <c r="A14" s="19" t="s">
        <v>144</v>
      </c>
      <c r="B14" s="20"/>
      <c r="C14" s="20"/>
      <c r="D14" s="20"/>
      <c r="E14" s="20"/>
    </row>
    <row r="15" customFormat="false" ht="30" hidden="false" customHeight="true" outlineLevel="0" collapsed="false">
      <c r="A15" s="2" t="s">
        <v>145</v>
      </c>
      <c r="B15" s="21" t="s">
        <v>146</v>
      </c>
      <c r="C15" s="18"/>
      <c r="D15" s="22" t="s">
        <v>147</v>
      </c>
      <c r="E15" s="13" t="n">
        <v>1.2</v>
      </c>
    </row>
    <row r="16" customFormat="false" ht="30" hidden="false" customHeight="true" outlineLevel="0" collapsed="false">
      <c r="A16" s="2" t="s">
        <v>148</v>
      </c>
      <c r="B16" s="21" t="s">
        <v>146</v>
      </c>
      <c r="C16" s="18"/>
      <c r="D16" s="22"/>
      <c r="E16" s="13" t="n">
        <v>1.8</v>
      </c>
    </row>
    <row r="17" customFormat="false" ht="30" hidden="false" customHeight="true" outlineLevel="0" collapsed="false">
      <c r="A17" s="2" t="s">
        <v>149</v>
      </c>
      <c r="B17" s="21" t="s">
        <v>146</v>
      </c>
      <c r="C17" s="18"/>
      <c r="D17" s="22" t="s">
        <v>150</v>
      </c>
      <c r="E17" s="13" t="n">
        <v>1.2</v>
      </c>
    </row>
    <row r="18" customFormat="false" ht="30" hidden="false" customHeight="true" outlineLevel="0" collapsed="false">
      <c r="A18" s="2" t="s">
        <v>151</v>
      </c>
      <c r="B18" s="21" t="s">
        <v>146</v>
      </c>
      <c r="C18" s="18"/>
      <c r="D18" s="22"/>
      <c r="E18" s="13" t="n">
        <v>2.6</v>
      </c>
    </row>
    <row r="19" customFormat="false" ht="30" hidden="false" customHeight="true" outlineLevel="0" collapsed="false">
      <c r="A19" s="3" t="s">
        <v>152</v>
      </c>
      <c r="B19" s="21" t="s">
        <v>146</v>
      </c>
      <c r="C19" s="18"/>
      <c r="D19" s="22"/>
      <c r="E19" s="13" t="n">
        <v>1.8</v>
      </c>
    </row>
    <row r="20" customFormat="false" ht="30" hidden="false" customHeight="true" outlineLevel="0" collapsed="false">
      <c r="A20" s="2" t="s">
        <v>153</v>
      </c>
      <c r="B20" s="21" t="s">
        <v>154</v>
      </c>
      <c r="C20" s="18"/>
      <c r="D20" s="22" t="s">
        <v>155</v>
      </c>
      <c r="E20" s="13" t="n">
        <v>1</v>
      </c>
    </row>
    <row r="22" customFormat="false" ht="15" hidden="false" customHeight="false" outlineLevel="0" collapsed="false">
      <c r="A22" s="19" t="s">
        <v>156</v>
      </c>
      <c r="B22" s="20"/>
      <c r="C22" s="20"/>
      <c r="D22" s="20"/>
      <c r="E22" s="20"/>
    </row>
    <row r="23" customFormat="false" ht="30" hidden="false" customHeight="true" outlineLevel="0" collapsed="false">
      <c r="A23" s="2" t="s">
        <v>157</v>
      </c>
      <c r="B23" s="21" t="s">
        <v>158</v>
      </c>
      <c r="C23" s="17"/>
      <c r="D23" s="22" t="s">
        <v>159</v>
      </c>
      <c r="E23" s="12" t="n">
        <v>0.12</v>
      </c>
    </row>
    <row r="24" customFormat="false" ht="30" hidden="false" customHeight="true" outlineLevel="0" collapsed="false">
      <c r="A24" s="3" t="s">
        <v>160</v>
      </c>
      <c r="B24" s="21" t="s">
        <v>161</v>
      </c>
      <c r="C24" s="15"/>
      <c r="D24" s="22" t="s">
        <v>162</v>
      </c>
      <c r="E24" s="10" t="n">
        <v>40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26"/>
  </cols>
  <sheetData>
    <row r="1" customFormat="false" ht="24" hidden="false" customHeight="true" outlineLevel="0" collapsed="false">
      <c r="A1" s="1" t="s">
        <v>163</v>
      </c>
      <c r="B1" s="1"/>
      <c r="C1" s="1"/>
      <c r="D1" s="1"/>
      <c r="E1" s="1"/>
    </row>
    <row r="2" customFormat="false" ht="43.5" hidden="false" customHeight="true" outlineLevel="0" collapsed="false">
      <c r="A2" s="4" t="s">
        <v>164</v>
      </c>
      <c r="B2" s="4"/>
      <c r="C2" s="4"/>
      <c r="D2" s="4"/>
      <c r="E2" s="4"/>
    </row>
    <row r="4" customFormat="false" ht="23.85" hidden="false" customHeight="false" outlineLevel="0" collapsed="false">
      <c r="A4" s="6" t="s">
        <v>119</v>
      </c>
      <c r="B4" s="6" t="s">
        <v>120</v>
      </c>
      <c r="C4" s="6" t="s">
        <v>121</v>
      </c>
      <c r="D4" s="6" t="s">
        <v>122</v>
      </c>
      <c r="E4" s="6" t="s">
        <v>123</v>
      </c>
    </row>
    <row r="5" customFormat="false" ht="15" hidden="false" customHeight="false" outlineLevel="0" collapsed="false">
      <c r="A5" s="19" t="s">
        <v>165</v>
      </c>
      <c r="B5" s="20"/>
      <c r="C5" s="20"/>
      <c r="D5" s="20"/>
      <c r="E5" s="20"/>
    </row>
    <row r="6" customFormat="false" ht="30" hidden="false" customHeight="true" outlineLevel="0" collapsed="false">
      <c r="A6" s="2" t="s">
        <v>166</v>
      </c>
      <c r="B6" s="21" t="s">
        <v>167</v>
      </c>
      <c r="C6" s="16"/>
      <c r="D6" s="22" t="s">
        <v>168</v>
      </c>
      <c r="E6" s="11" t="n">
        <v>95000</v>
      </c>
    </row>
    <row r="7" customFormat="false" ht="30" hidden="false" customHeight="true" outlineLevel="0" collapsed="false">
      <c r="A7" s="2" t="s">
        <v>169</v>
      </c>
      <c r="B7" s="21" t="s">
        <v>167</v>
      </c>
      <c r="C7" s="16"/>
      <c r="D7" s="22"/>
      <c r="E7" s="11" t="n">
        <v>9000</v>
      </c>
    </row>
    <row r="8" customFormat="false" ht="30" hidden="false" customHeight="true" outlineLevel="0" collapsed="false">
      <c r="A8" s="2" t="s">
        <v>170</v>
      </c>
      <c r="B8" s="21" t="s">
        <v>167</v>
      </c>
      <c r="C8" s="16"/>
      <c r="D8" s="22" t="s">
        <v>171</v>
      </c>
      <c r="E8" s="11" t="n">
        <v>7500</v>
      </c>
    </row>
    <row r="9" customFormat="false" ht="30" hidden="false" customHeight="true" outlineLevel="0" collapsed="false">
      <c r="A9" s="2" t="s">
        <v>172</v>
      </c>
      <c r="B9" s="21" t="s">
        <v>167</v>
      </c>
      <c r="C9" s="16"/>
      <c r="D9" s="22"/>
      <c r="E9" s="11" t="n">
        <v>32000</v>
      </c>
    </row>
    <row r="10" customFormat="false" ht="30" hidden="false" customHeight="true" outlineLevel="0" collapsed="false">
      <c r="A10" s="2" t="s">
        <v>173</v>
      </c>
      <c r="B10" s="21" t="s">
        <v>167</v>
      </c>
      <c r="C10" s="16"/>
      <c r="D10" s="22" t="s">
        <v>174</v>
      </c>
      <c r="E10" s="11" t="n">
        <v>0</v>
      </c>
    </row>
    <row r="11" customFormat="false" ht="30" hidden="false" customHeight="true" outlineLevel="0" collapsed="false">
      <c r="A11" s="3" t="s">
        <v>175</v>
      </c>
      <c r="B11" s="21" t="s">
        <v>167</v>
      </c>
      <c r="C11" s="16"/>
      <c r="D11" s="22"/>
      <c r="E11" s="11" t="n">
        <v>6000</v>
      </c>
    </row>
    <row r="12" customFormat="false" ht="30" hidden="false" customHeight="true" outlineLevel="0" collapsed="false">
      <c r="A12" s="2" t="s">
        <v>176</v>
      </c>
      <c r="B12" s="21" t="s">
        <v>177</v>
      </c>
      <c r="C12" s="15"/>
      <c r="D12" s="22" t="s">
        <v>178</v>
      </c>
      <c r="E12" s="10" t="n">
        <v>190</v>
      </c>
    </row>
    <row r="13" customFormat="false" ht="30" hidden="false" customHeight="true" outlineLevel="0" collapsed="false">
      <c r="A13" s="2" t="s">
        <v>179</v>
      </c>
      <c r="B13" s="21" t="s">
        <v>167</v>
      </c>
      <c r="C13" s="16"/>
      <c r="D13" s="22" t="s">
        <v>180</v>
      </c>
      <c r="E13" s="11" t="n">
        <v>3200000</v>
      </c>
    </row>
    <row r="14" customFormat="false" ht="30" hidden="false" customHeight="true" outlineLevel="0" collapsed="false">
      <c r="A14" s="2" t="s">
        <v>181</v>
      </c>
      <c r="B14" s="21" t="s">
        <v>129</v>
      </c>
      <c r="C14" s="14"/>
      <c r="D14" s="22" t="s">
        <v>182</v>
      </c>
      <c r="E14" s="9" t="s">
        <v>183</v>
      </c>
    </row>
    <row r="16" customFormat="false" ht="15" hidden="false" customHeight="false" outlineLevel="0" collapsed="false">
      <c r="A16" s="19" t="s">
        <v>184</v>
      </c>
      <c r="B16" s="20"/>
      <c r="C16" s="20"/>
      <c r="D16" s="20"/>
      <c r="E16" s="20"/>
    </row>
    <row r="17" customFormat="false" ht="30" hidden="false" customHeight="true" outlineLevel="0" collapsed="false">
      <c r="A17" s="2" t="s">
        <v>185</v>
      </c>
      <c r="B17" s="21" t="s">
        <v>167</v>
      </c>
      <c r="C17" s="16"/>
      <c r="D17" s="22" t="s">
        <v>186</v>
      </c>
      <c r="E17" s="11" t="n">
        <v>6000</v>
      </c>
    </row>
    <row r="18" customFormat="false" ht="30" hidden="false" customHeight="true" outlineLevel="0" collapsed="false">
      <c r="A18" s="2" t="s">
        <v>187</v>
      </c>
      <c r="B18" s="21" t="s">
        <v>167</v>
      </c>
      <c r="C18" s="16"/>
      <c r="D18" s="22" t="s">
        <v>188</v>
      </c>
      <c r="E18" s="11" t="n">
        <v>9500</v>
      </c>
    </row>
    <row r="19" customFormat="false" ht="30" hidden="false" customHeight="true" outlineLevel="0" collapsed="false">
      <c r="A19" s="3" t="s">
        <v>189</v>
      </c>
      <c r="B19" s="21" t="s">
        <v>167</v>
      </c>
      <c r="C19" s="16"/>
      <c r="D19" s="22" t="s">
        <v>190</v>
      </c>
      <c r="E19" s="11" t="n">
        <v>3500</v>
      </c>
    </row>
    <row r="20" customFormat="false" ht="30" hidden="false" customHeight="true" outlineLevel="0" collapsed="false">
      <c r="A20" s="3" t="s">
        <v>191</v>
      </c>
      <c r="B20" s="21" t="s">
        <v>192</v>
      </c>
      <c r="C20" s="16"/>
      <c r="D20" s="22" t="s">
        <v>193</v>
      </c>
      <c r="E20" s="11" t="n">
        <v>25000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26"/>
  </cols>
  <sheetData>
    <row r="1" customFormat="false" ht="24" hidden="false" customHeight="true" outlineLevel="0" collapsed="false">
      <c r="A1" s="1" t="s">
        <v>194</v>
      </c>
      <c r="B1" s="1"/>
      <c r="C1" s="1"/>
      <c r="D1" s="1"/>
      <c r="E1" s="1"/>
    </row>
    <row r="2" customFormat="false" ht="43.5" hidden="false" customHeight="true" outlineLevel="0" collapsed="false">
      <c r="A2" s="4" t="s">
        <v>195</v>
      </c>
      <c r="B2" s="4"/>
      <c r="C2" s="4"/>
      <c r="D2" s="4"/>
      <c r="E2" s="4"/>
    </row>
    <row r="4" customFormat="false" ht="23.85" hidden="false" customHeight="false" outlineLevel="0" collapsed="false">
      <c r="A4" s="6" t="s">
        <v>119</v>
      </c>
      <c r="B4" s="6" t="s">
        <v>120</v>
      </c>
      <c r="C4" s="6" t="s">
        <v>121</v>
      </c>
      <c r="D4" s="6" t="s">
        <v>122</v>
      </c>
      <c r="E4" s="6" t="s">
        <v>123</v>
      </c>
    </row>
    <row r="5" customFormat="false" ht="15" hidden="false" customHeight="false" outlineLevel="0" collapsed="false">
      <c r="A5" s="19" t="s">
        <v>196</v>
      </c>
      <c r="B5" s="20"/>
      <c r="C5" s="20"/>
      <c r="D5" s="20"/>
      <c r="E5" s="20"/>
    </row>
    <row r="6" customFormat="false" ht="30" hidden="false" customHeight="true" outlineLevel="0" collapsed="false">
      <c r="A6" s="2" t="s">
        <v>197</v>
      </c>
      <c r="B6" s="21" t="s">
        <v>129</v>
      </c>
      <c r="C6" s="14"/>
      <c r="D6" s="22" t="s">
        <v>198</v>
      </c>
      <c r="E6" s="9" t="s">
        <v>199</v>
      </c>
    </row>
    <row r="7" customFormat="false" ht="30" hidden="false" customHeight="true" outlineLevel="0" collapsed="false">
      <c r="A7" s="2" t="s">
        <v>200</v>
      </c>
      <c r="B7" s="21" t="s">
        <v>135</v>
      </c>
      <c r="C7" s="23"/>
      <c r="D7" s="22" t="s">
        <v>201</v>
      </c>
      <c r="E7" s="24" t="n">
        <v>0.0065</v>
      </c>
    </row>
    <row r="8" customFormat="false" ht="30" hidden="false" customHeight="true" outlineLevel="0" collapsed="false">
      <c r="A8" s="2" t="s">
        <v>202</v>
      </c>
      <c r="B8" s="21" t="s">
        <v>135</v>
      </c>
      <c r="C8" s="23"/>
      <c r="D8" s="22" t="s">
        <v>203</v>
      </c>
      <c r="E8" s="24" t="n">
        <v>0.03</v>
      </c>
    </row>
    <row r="9" customFormat="false" ht="30" hidden="false" customHeight="true" outlineLevel="0" collapsed="false">
      <c r="A9" s="2" t="s">
        <v>204</v>
      </c>
      <c r="B9" s="21" t="s">
        <v>135</v>
      </c>
      <c r="C9" s="23"/>
      <c r="D9" s="22" t="s">
        <v>205</v>
      </c>
      <c r="E9" s="24" t="n">
        <v>0.012</v>
      </c>
    </row>
    <row r="10" customFormat="false" ht="30" hidden="false" customHeight="true" outlineLevel="0" collapsed="false">
      <c r="A10" s="2" t="s">
        <v>206</v>
      </c>
      <c r="B10" s="21" t="s">
        <v>135</v>
      </c>
      <c r="C10" s="23"/>
      <c r="D10" s="22" t="s">
        <v>207</v>
      </c>
      <c r="E10" s="24" t="n">
        <v>0.0108</v>
      </c>
    </row>
    <row r="11" customFormat="false" ht="30" hidden="false" customHeight="true" outlineLevel="0" collapsed="false">
      <c r="A11" s="2" t="s">
        <v>208</v>
      </c>
      <c r="B11" s="21" t="s">
        <v>135</v>
      </c>
      <c r="C11" s="23"/>
      <c r="D11" s="22" t="s">
        <v>209</v>
      </c>
      <c r="E11" s="24" t="n">
        <v>0.05</v>
      </c>
    </row>
    <row r="12" customFormat="false" ht="30" hidden="false" customHeight="true" outlineLevel="0" collapsed="false">
      <c r="A12" s="2" t="s">
        <v>210</v>
      </c>
      <c r="B12" s="21" t="s">
        <v>129</v>
      </c>
      <c r="C12" s="14"/>
      <c r="D12" s="22" t="s">
        <v>211</v>
      </c>
      <c r="E12" s="9" t="s">
        <v>212</v>
      </c>
    </row>
    <row r="13" customFormat="false" ht="30" hidden="false" customHeight="true" outlineLevel="0" collapsed="false">
      <c r="A13" s="2" t="s">
        <v>213</v>
      </c>
      <c r="B13" s="21" t="s">
        <v>135</v>
      </c>
      <c r="C13" s="23"/>
      <c r="D13" s="22" t="s">
        <v>214</v>
      </c>
      <c r="E13" s="24" t="n">
        <v>0.12</v>
      </c>
    </row>
    <row r="14" customFormat="false" ht="30" hidden="false" customHeight="true" outlineLevel="0" collapsed="false">
      <c r="A14" s="3" t="s">
        <v>215</v>
      </c>
      <c r="B14" s="21" t="s">
        <v>135</v>
      </c>
      <c r="C14" s="23"/>
      <c r="D14" s="22" t="s">
        <v>216</v>
      </c>
      <c r="E14" s="24" t="n">
        <v>0.12</v>
      </c>
    </row>
    <row r="15" customFormat="false" ht="30" hidden="false" customHeight="true" outlineLevel="0" collapsed="false">
      <c r="A15" s="3" t="s">
        <v>217</v>
      </c>
      <c r="B15" s="21" t="s">
        <v>135</v>
      </c>
      <c r="C15" s="14"/>
      <c r="D15" s="22" t="s">
        <v>218</v>
      </c>
      <c r="E15" s="9" t="s">
        <v>219</v>
      </c>
    </row>
    <row r="16" customFormat="false" ht="30" hidden="false" customHeight="true" outlineLevel="0" collapsed="false">
      <c r="A16" s="3" t="s">
        <v>220</v>
      </c>
      <c r="B16" s="21" t="s">
        <v>221</v>
      </c>
      <c r="C16" s="14"/>
      <c r="D16" s="22" t="s">
        <v>222</v>
      </c>
      <c r="E16" s="9" t="s">
        <v>72</v>
      </c>
    </row>
    <row r="18" customFormat="false" ht="15" hidden="false" customHeight="false" outlineLevel="0" collapsed="false">
      <c r="A18" s="19" t="s">
        <v>223</v>
      </c>
      <c r="B18" s="20"/>
      <c r="C18" s="20"/>
      <c r="D18" s="20"/>
      <c r="E18" s="20"/>
    </row>
    <row r="19" customFormat="false" ht="30" hidden="false" customHeight="true" outlineLevel="0" collapsed="false">
      <c r="A19" s="2" t="s">
        <v>224</v>
      </c>
      <c r="B19" s="21" t="s">
        <v>225</v>
      </c>
      <c r="C19" s="15"/>
      <c r="D19" s="22" t="s">
        <v>226</v>
      </c>
      <c r="E19" s="10" t="n">
        <v>55</v>
      </c>
    </row>
    <row r="20" customFormat="false" ht="30" hidden="false" customHeight="true" outlineLevel="0" collapsed="false">
      <c r="A20" s="2" t="s">
        <v>227</v>
      </c>
      <c r="B20" s="21" t="s">
        <v>225</v>
      </c>
      <c r="C20" s="15"/>
      <c r="D20" s="22"/>
      <c r="E20" s="10" t="n">
        <v>35</v>
      </c>
    </row>
    <row r="21" customFormat="false" ht="30" hidden="false" customHeight="true" outlineLevel="0" collapsed="false">
      <c r="A21" s="2" t="s">
        <v>228</v>
      </c>
      <c r="B21" s="21" t="s">
        <v>229</v>
      </c>
      <c r="C21" s="23"/>
      <c r="D21" s="22" t="s">
        <v>230</v>
      </c>
      <c r="E21" s="24" t="n">
        <v>0.018</v>
      </c>
    </row>
    <row r="22" customFormat="false" ht="30" hidden="false" customHeight="true" outlineLevel="0" collapsed="false">
      <c r="A22" s="3" t="s">
        <v>231</v>
      </c>
      <c r="B22" s="21" t="s">
        <v>135</v>
      </c>
      <c r="C22" s="17"/>
      <c r="D22" s="22" t="s">
        <v>232</v>
      </c>
      <c r="E22" s="12" t="n">
        <v>0.01</v>
      </c>
    </row>
    <row r="23" customFormat="false" ht="30" hidden="false" customHeight="true" outlineLevel="0" collapsed="false">
      <c r="A23" s="3" t="s">
        <v>233</v>
      </c>
      <c r="B23" s="21" t="s">
        <v>234</v>
      </c>
      <c r="C23" s="17"/>
      <c r="D23" s="22" t="s">
        <v>235</v>
      </c>
      <c r="E23" s="12" t="n">
        <v>0.01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26"/>
  </cols>
  <sheetData>
    <row r="1" customFormat="false" ht="24" hidden="false" customHeight="true" outlineLevel="0" collapsed="false">
      <c r="A1" s="1" t="s">
        <v>236</v>
      </c>
      <c r="B1" s="1"/>
      <c r="C1" s="1"/>
      <c r="D1" s="1"/>
      <c r="E1" s="1"/>
    </row>
    <row r="2" customFormat="false" ht="43.5" hidden="false" customHeight="true" outlineLevel="0" collapsed="false">
      <c r="A2" s="4" t="s">
        <v>237</v>
      </c>
      <c r="B2" s="4"/>
      <c r="C2" s="4"/>
      <c r="D2" s="4"/>
      <c r="E2" s="4"/>
    </row>
    <row r="4" customFormat="false" ht="23.85" hidden="false" customHeight="false" outlineLevel="0" collapsed="false">
      <c r="A4" s="6" t="s">
        <v>119</v>
      </c>
      <c r="B4" s="6" t="s">
        <v>120</v>
      </c>
      <c r="C4" s="6" t="s">
        <v>121</v>
      </c>
      <c r="D4" s="6" t="s">
        <v>122</v>
      </c>
      <c r="E4" s="6" t="s">
        <v>123</v>
      </c>
    </row>
    <row r="5" customFormat="false" ht="15" hidden="false" customHeight="false" outlineLevel="0" collapsed="false">
      <c r="A5" s="19" t="s">
        <v>32</v>
      </c>
      <c r="B5" s="20"/>
      <c r="C5" s="20"/>
      <c r="D5" s="20"/>
      <c r="E5" s="20"/>
    </row>
    <row r="6" customFormat="false" ht="30" hidden="false" customHeight="true" outlineLevel="0" collapsed="false">
      <c r="A6" s="2" t="s">
        <v>238</v>
      </c>
      <c r="B6" s="21" t="s">
        <v>239</v>
      </c>
      <c r="C6" s="16"/>
      <c r="D6" s="22" t="s">
        <v>240</v>
      </c>
      <c r="E6" s="11" t="n">
        <v>6.15</v>
      </c>
    </row>
    <row r="7" customFormat="false" ht="30" hidden="false" customHeight="true" outlineLevel="0" collapsed="false">
      <c r="A7" s="3" t="s">
        <v>241</v>
      </c>
      <c r="B7" s="21" t="s">
        <v>239</v>
      </c>
      <c r="C7" s="16"/>
      <c r="D7" s="22"/>
      <c r="E7" s="11" t="n">
        <v>6.3</v>
      </c>
    </row>
    <row r="8" customFormat="false" ht="30" hidden="false" customHeight="true" outlineLevel="0" collapsed="false">
      <c r="A8" s="2" t="s">
        <v>242</v>
      </c>
      <c r="B8" s="21" t="s">
        <v>129</v>
      </c>
      <c r="C8" s="14"/>
      <c r="D8" s="22" t="s">
        <v>243</v>
      </c>
      <c r="E8" s="9" t="s">
        <v>244</v>
      </c>
    </row>
    <row r="9" customFormat="false" ht="30" hidden="false" customHeight="true" outlineLevel="0" collapsed="false">
      <c r="A9" s="3" t="s">
        <v>245</v>
      </c>
      <c r="B9" s="21" t="s">
        <v>135</v>
      </c>
      <c r="C9" s="17"/>
      <c r="D9" s="22" t="s">
        <v>246</v>
      </c>
      <c r="E9" s="12" t="n">
        <v>0.06</v>
      </c>
    </row>
    <row r="10" customFormat="false" ht="30" hidden="false" customHeight="true" outlineLevel="0" collapsed="false">
      <c r="A10" s="2" t="s">
        <v>247</v>
      </c>
      <c r="B10" s="21" t="s">
        <v>248</v>
      </c>
      <c r="C10" s="14"/>
      <c r="D10" s="22" t="s">
        <v>249</v>
      </c>
      <c r="E10" s="9" t="s">
        <v>250</v>
      </c>
    </row>
    <row r="12" customFormat="false" ht="15" hidden="false" customHeight="false" outlineLevel="0" collapsed="false">
      <c r="A12" s="19" t="s">
        <v>251</v>
      </c>
      <c r="B12" s="20"/>
      <c r="C12" s="20"/>
      <c r="D12" s="20"/>
      <c r="E12" s="20"/>
    </row>
    <row r="13" customFormat="false" ht="30" hidden="false" customHeight="true" outlineLevel="0" collapsed="false">
      <c r="A13" s="2" t="s">
        <v>252</v>
      </c>
      <c r="B13" s="21" t="s">
        <v>253</v>
      </c>
      <c r="C13" s="18"/>
      <c r="D13" s="22" t="s">
        <v>254</v>
      </c>
      <c r="E13" s="13" t="n">
        <v>0.06</v>
      </c>
    </row>
    <row r="14" customFormat="false" ht="30" hidden="false" customHeight="true" outlineLevel="0" collapsed="false">
      <c r="A14" s="2" t="s">
        <v>255</v>
      </c>
      <c r="B14" s="21" t="s">
        <v>256</v>
      </c>
      <c r="C14" s="14"/>
      <c r="D14" s="22" t="s">
        <v>257</v>
      </c>
      <c r="E14" s="9" t="s">
        <v>258</v>
      </c>
    </row>
    <row r="15" customFormat="false" ht="30" hidden="false" customHeight="true" outlineLevel="0" collapsed="false">
      <c r="A15" s="2" t="s">
        <v>259</v>
      </c>
      <c r="B15" s="21" t="s">
        <v>260</v>
      </c>
      <c r="C15" s="14"/>
      <c r="D15" s="22"/>
      <c r="E15" s="9" t="s">
        <v>261</v>
      </c>
    </row>
    <row r="16" customFormat="false" ht="30" hidden="false" customHeight="true" outlineLevel="0" collapsed="false">
      <c r="A16" s="3" t="s">
        <v>262</v>
      </c>
      <c r="B16" s="21" t="s">
        <v>253</v>
      </c>
      <c r="C16" s="18"/>
      <c r="D16" s="22"/>
      <c r="E16" s="13" t="n">
        <v>0.01</v>
      </c>
    </row>
    <row r="17" customFormat="false" ht="30" hidden="false" customHeight="true" outlineLevel="0" collapsed="false">
      <c r="A17" s="3" t="s">
        <v>263</v>
      </c>
      <c r="B17" s="21" t="s">
        <v>264</v>
      </c>
      <c r="C17" s="16"/>
      <c r="D17" s="22" t="s">
        <v>265</v>
      </c>
      <c r="E17" s="11" t="n">
        <v>45</v>
      </c>
    </row>
    <row r="18" customFormat="false" ht="30" hidden="false" customHeight="true" outlineLevel="0" collapsed="false">
      <c r="A18" s="3" t="s">
        <v>266</v>
      </c>
      <c r="B18" s="21" t="s">
        <v>264</v>
      </c>
      <c r="C18" s="16"/>
      <c r="D18" s="22" t="s">
        <v>267</v>
      </c>
      <c r="E18" s="11" t="n">
        <v>120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24" hidden="false" customHeight="true" outlineLevel="0" collapsed="false">
      <c r="A1" s="1" t="s">
        <v>268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3.5" hidden="false" customHeight="true" outlineLevel="0" collapsed="false">
      <c r="A2" s="4" t="s">
        <v>269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5" hidden="false" customHeight="false" outlineLevel="0" collapsed="false">
      <c r="A3" s="5" t="s">
        <v>17</v>
      </c>
    </row>
    <row r="4" customFormat="false" ht="33.75" hidden="false" customHeight="true" outlineLevel="0" collapsed="false">
      <c r="A4" s="6" t="s">
        <v>270</v>
      </c>
      <c r="B4" s="6" t="s">
        <v>271</v>
      </c>
      <c r="C4" s="6" t="s">
        <v>272</v>
      </c>
      <c r="D4" s="6" t="s">
        <v>273</v>
      </c>
      <c r="E4" s="6" t="s">
        <v>274</v>
      </c>
      <c r="F4" s="6" t="s">
        <v>275</v>
      </c>
      <c r="G4" s="6" t="s">
        <v>276</v>
      </c>
      <c r="H4" s="6" t="s">
        <v>277</v>
      </c>
      <c r="I4" s="6" t="s">
        <v>278</v>
      </c>
      <c r="J4" s="6" t="s">
        <v>43</v>
      </c>
    </row>
    <row r="5" customFormat="false" ht="120" hidden="false" customHeight="true" outlineLevel="0" collapsed="false">
      <c r="A5" s="7" t="s">
        <v>279</v>
      </c>
      <c r="B5" s="8"/>
      <c r="C5" s="7" t="s">
        <v>280</v>
      </c>
      <c r="D5" s="7" t="s">
        <v>281</v>
      </c>
      <c r="E5" s="7" t="s">
        <v>280</v>
      </c>
      <c r="F5" s="8"/>
      <c r="G5" s="8" t="s">
        <v>282</v>
      </c>
      <c r="H5" s="8" t="s">
        <v>283</v>
      </c>
      <c r="I5" s="7" t="s">
        <v>280</v>
      </c>
      <c r="J5" s="8"/>
    </row>
    <row r="6" customFormat="false" ht="30" hidden="false" customHeight="true" outlineLevel="0" collapsed="false">
      <c r="A6" s="9" t="s">
        <v>284</v>
      </c>
      <c r="B6" s="9" t="s">
        <v>285</v>
      </c>
      <c r="C6" s="11" t="n">
        <v>13.9</v>
      </c>
      <c r="D6" s="11" t="n">
        <v>27.8</v>
      </c>
      <c r="E6" s="11" t="n">
        <v>27.8</v>
      </c>
      <c r="F6" s="11" t="n">
        <v>41.7</v>
      </c>
      <c r="G6" s="12" t="n">
        <v>0.05</v>
      </c>
      <c r="H6" s="9" t="s">
        <v>286</v>
      </c>
      <c r="I6" s="9" t="s">
        <v>287</v>
      </c>
      <c r="J6" s="9"/>
    </row>
    <row r="7" customFormat="false" ht="15" hidden="false" customHeight="false" outlineLevel="0" collapsed="false">
      <c r="A7" s="14"/>
      <c r="B7" s="14"/>
      <c r="C7" s="16"/>
      <c r="D7" s="16"/>
      <c r="E7" s="16"/>
      <c r="F7" s="16"/>
      <c r="G7" s="17"/>
      <c r="H7" s="14"/>
      <c r="I7" s="14"/>
      <c r="J7" s="14"/>
    </row>
    <row r="8" customFormat="false" ht="15" hidden="false" customHeight="false" outlineLevel="0" collapsed="false">
      <c r="A8" s="14"/>
      <c r="B8" s="14"/>
      <c r="C8" s="16"/>
      <c r="D8" s="16"/>
      <c r="E8" s="16"/>
      <c r="F8" s="16"/>
      <c r="G8" s="17"/>
      <c r="H8" s="14"/>
      <c r="I8" s="14"/>
      <c r="J8" s="14"/>
    </row>
    <row r="9" customFormat="false" ht="15" hidden="false" customHeight="false" outlineLevel="0" collapsed="false">
      <c r="A9" s="14"/>
      <c r="B9" s="14"/>
      <c r="C9" s="16"/>
      <c r="D9" s="16"/>
      <c r="E9" s="16"/>
      <c r="F9" s="16"/>
      <c r="G9" s="17"/>
      <c r="H9" s="14"/>
      <c r="I9" s="14"/>
      <c r="J9" s="14"/>
    </row>
    <row r="10" customFormat="false" ht="15" hidden="false" customHeight="false" outlineLevel="0" collapsed="false">
      <c r="A10" s="14"/>
      <c r="B10" s="14"/>
      <c r="C10" s="16"/>
      <c r="D10" s="16"/>
      <c r="E10" s="16"/>
      <c r="F10" s="16"/>
      <c r="G10" s="17"/>
      <c r="H10" s="14"/>
      <c r="I10" s="14"/>
      <c r="J10" s="14"/>
    </row>
    <row r="11" customFormat="false" ht="15" hidden="false" customHeight="false" outlineLevel="0" collapsed="false">
      <c r="A11" s="14"/>
      <c r="B11" s="14"/>
      <c r="C11" s="16"/>
      <c r="D11" s="16"/>
      <c r="E11" s="16"/>
      <c r="F11" s="16"/>
      <c r="G11" s="17"/>
      <c r="H11" s="14"/>
      <c r="I11" s="14"/>
      <c r="J11" s="14"/>
    </row>
    <row r="12" customFormat="false" ht="15" hidden="false" customHeight="false" outlineLevel="0" collapsed="false">
      <c r="A12" s="14"/>
      <c r="B12" s="14"/>
      <c r="C12" s="16"/>
      <c r="D12" s="16"/>
      <c r="E12" s="16"/>
      <c r="F12" s="16"/>
      <c r="G12" s="17"/>
      <c r="H12" s="14"/>
      <c r="I12" s="14"/>
      <c r="J12" s="14"/>
    </row>
    <row r="13" customFormat="false" ht="15" hidden="false" customHeight="false" outlineLevel="0" collapsed="false">
      <c r="A13" s="14"/>
      <c r="B13" s="14"/>
      <c r="C13" s="16"/>
      <c r="D13" s="16"/>
      <c r="E13" s="16"/>
      <c r="F13" s="16"/>
      <c r="G13" s="17"/>
      <c r="H13" s="14"/>
      <c r="I13" s="14"/>
      <c r="J13" s="14"/>
    </row>
    <row r="14" customFormat="false" ht="15" hidden="false" customHeight="false" outlineLevel="0" collapsed="false">
      <c r="A14" s="14"/>
      <c r="B14" s="14"/>
      <c r="C14" s="16"/>
      <c r="D14" s="16"/>
      <c r="E14" s="16"/>
      <c r="F14" s="16"/>
      <c r="G14" s="17"/>
      <c r="H14" s="14"/>
      <c r="I14" s="14"/>
      <c r="J14" s="14"/>
    </row>
    <row r="15" customFormat="false" ht="15" hidden="false" customHeight="false" outlineLevel="0" collapsed="false">
      <c r="A15" s="14"/>
      <c r="B15" s="14"/>
      <c r="C15" s="16"/>
      <c r="D15" s="16"/>
      <c r="E15" s="16"/>
      <c r="F15" s="16"/>
      <c r="G15" s="17"/>
      <c r="H15" s="14"/>
      <c r="I15" s="14"/>
      <c r="J15" s="14"/>
    </row>
    <row r="16" customFormat="false" ht="15" hidden="false" customHeight="false" outlineLevel="0" collapsed="false">
      <c r="A16" s="14"/>
      <c r="B16" s="14"/>
      <c r="C16" s="16"/>
      <c r="D16" s="16"/>
      <c r="E16" s="16"/>
      <c r="F16" s="16"/>
      <c r="G16" s="17"/>
      <c r="H16" s="14"/>
      <c r="I16" s="14"/>
      <c r="J16" s="14"/>
    </row>
    <row r="17" customFormat="false" ht="15" hidden="false" customHeight="false" outlineLevel="0" collapsed="false">
      <c r="A17" s="14"/>
      <c r="B17" s="14"/>
      <c r="C17" s="16"/>
      <c r="D17" s="16"/>
      <c r="E17" s="16"/>
      <c r="F17" s="16"/>
      <c r="G17" s="17"/>
      <c r="H17" s="14"/>
      <c r="I17" s="14"/>
      <c r="J17" s="14"/>
    </row>
    <row r="18" customFormat="false" ht="15" hidden="false" customHeight="false" outlineLevel="0" collapsed="false">
      <c r="A18" s="14"/>
      <c r="B18" s="14"/>
      <c r="C18" s="16"/>
      <c r="D18" s="16"/>
      <c r="E18" s="16"/>
      <c r="F18" s="16"/>
      <c r="G18" s="17"/>
      <c r="H18" s="14"/>
      <c r="I18" s="14"/>
      <c r="J18" s="14"/>
    </row>
    <row r="19" customFormat="false" ht="15" hidden="false" customHeight="false" outlineLevel="0" collapsed="false">
      <c r="A19" s="14"/>
      <c r="B19" s="14"/>
      <c r="C19" s="16"/>
      <c r="D19" s="16"/>
      <c r="E19" s="16"/>
      <c r="F19" s="16"/>
      <c r="G19" s="17"/>
      <c r="H19" s="14"/>
      <c r="I19" s="14"/>
      <c r="J19" s="14"/>
    </row>
    <row r="20" customFormat="false" ht="15" hidden="false" customHeight="false" outlineLevel="0" collapsed="false">
      <c r="A20" s="14"/>
      <c r="B20" s="14"/>
      <c r="C20" s="16"/>
      <c r="D20" s="16"/>
      <c r="E20" s="16"/>
      <c r="F20" s="16"/>
      <c r="G20" s="17"/>
      <c r="H20" s="14"/>
      <c r="I20" s="14"/>
      <c r="J20" s="14"/>
    </row>
    <row r="21" customFormat="false" ht="15" hidden="false" customHeight="false" outlineLevel="0" collapsed="false">
      <c r="A21" s="14"/>
      <c r="B21" s="14"/>
      <c r="C21" s="16"/>
      <c r="D21" s="16"/>
      <c r="E21" s="16"/>
      <c r="F21" s="16"/>
      <c r="G21" s="17"/>
      <c r="H21" s="14"/>
      <c r="I21" s="14"/>
      <c r="J21" s="14"/>
    </row>
    <row r="22" customFormat="false" ht="15" hidden="false" customHeight="false" outlineLevel="0" collapsed="false">
      <c r="A22" s="14"/>
      <c r="B22" s="14"/>
      <c r="C22" s="16"/>
      <c r="D22" s="16"/>
      <c r="E22" s="16"/>
      <c r="F22" s="16"/>
      <c r="G22" s="17"/>
      <c r="H22" s="14"/>
      <c r="I22" s="14"/>
      <c r="J22" s="14"/>
    </row>
    <row r="23" customFormat="false" ht="15" hidden="false" customHeight="false" outlineLevel="0" collapsed="false">
      <c r="A23" s="14"/>
      <c r="B23" s="14"/>
      <c r="C23" s="16"/>
      <c r="D23" s="16"/>
      <c r="E23" s="16"/>
      <c r="F23" s="16"/>
      <c r="G23" s="17"/>
      <c r="H23" s="14"/>
      <c r="I23" s="14"/>
      <c r="J23" s="14"/>
    </row>
    <row r="24" customFormat="false" ht="15" hidden="false" customHeight="false" outlineLevel="0" collapsed="false">
      <c r="A24" s="14"/>
      <c r="B24" s="14"/>
      <c r="C24" s="16"/>
      <c r="D24" s="16"/>
      <c r="E24" s="16"/>
      <c r="F24" s="16"/>
      <c r="G24" s="17"/>
      <c r="H24" s="14"/>
      <c r="I24" s="14"/>
      <c r="J24" s="14"/>
    </row>
    <row r="25" customFormat="false" ht="15" hidden="false" customHeight="false" outlineLevel="0" collapsed="false">
      <c r="A25" s="14"/>
      <c r="B25" s="14"/>
      <c r="C25" s="16"/>
      <c r="D25" s="16"/>
      <c r="E25" s="16"/>
      <c r="F25" s="16"/>
      <c r="G25" s="17"/>
      <c r="H25" s="14"/>
      <c r="I25" s="14"/>
      <c r="J25" s="14"/>
    </row>
    <row r="26" customFormat="false" ht="15" hidden="false" customHeight="false" outlineLevel="0" collapsed="false">
      <c r="A26" s="14"/>
      <c r="B26" s="14"/>
      <c r="C26" s="16"/>
      <c r="D26" s="16"/>
      <c r="E26" s="16"/>
      <c r="F26" s="16"/>
      <c r="G26" s="17"/>
      <c r="H26" s="14"/>
      <c r="I26" s="14"/>
      <c r="J26" s="14"/>
    </row>
    <row r="27" customFormat="false" ht="15" hidden="false" customHeight="false" outlineLevel="0" collapsed="false">
      <c r="A27" s="14"/>
      <c r="B27" s="14"/>
      <c r="C27" s="16"/>
      <c r="D27" s="16"/>
      <c r="E27" s="16"/>
      <c r="F27" s="16"/>
      <c r="G27" s="17"/>
      <c r="H27" s="14"/>
      <c r="I27" s="14"/>
      <c r="J27" s="14"/>
    </row>
    <row r="28" customFormat="false" ht="15" hidden="false" customHeight="false" outlineLevel="0" collapsed="false">
      <c r="A28" s="14"/>
      <c r="B28" s="14"/>
      <c r="C28" s="16"/>
      <c r="D28" s="16"/>
      <c r="E28" s="16"/>
      <c r="F28" s="16"/>
      <c r="G28" s="17"/>
      <c r="H28" s="14"/>
      <c r="I28" s="14"/>
      <c r="J28" s="14"/>
    </row>
    <row r="29" customFormat="false" ht="15" hidden="false" customHeight="false" outlineLevel="0" collapsed="false">
      <c r="A29" s="14"/>
      <c r="B29" s="14"/>
      <c r="C29" s="16"/>
      <c r="D29" s="16"/>
      <c r="E29" s="16"/>
      <c r="F29" s="16"/>
      <c r="G29" s="17"/>
      <c r="H29" s="14"/>
      <c r="I29" s="14"/>
      <c r="J29" s="14"/>
    </row>
    <row r="30" customFormat="false" ht="15" hidden="false" customHeight="false" outlineLevel="0" collapsed="false">
      <c r="A30" s="14"/>
      <c r="B30" s="14"/>
      <c r="C30" s="16"/>
      <c r="D30" s="16"/>
      <c r="E30" s="16"/>
      <c r="F30" s="16"/>
      <c r="G30" s="17"/>
      <c r="H30" s="14"/>
      <c r="I30" s="14"/>
      <c r="J30" s="14"/>
    </row>
    <row r="31" customFormat="false" ht="15" hidden="false" customHeight="false" outlineLevel="0" collapsed="false">
      <c r="A31" s="14"/>
      <c r="B31" s="14"/>
      <c r="C31" s="16"/>
      <c r="D31" s="16"/>
      <c r="E31" s="16"/>
      <c r="F31" s="16"/>
      <c r="G31" s="17"/>
      <c r="H31" s="14"/>
      <c r="I31" s="14"/>
      <c r="J31" s="14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26"/>
  </cols>
  <sheetData>
    <row r="1" customFormat="false" ht="24" hidden="false" customHeight="true" outlineLevel="0" collapsed="false">
      <c r="A1" s="1" t="s">
        <v>288</v>
      </c>
      <c r="B1" s="1"/>
      <c r="C1" s="1"/>
      <c r="D1" s="1"/>
      <c r="E1" s="1"/>
    </row>
    <row r="2" customFormat="false" ht="43.5" hidden="false" customHeight="true" outlineLevel="0" collapsed="false">
      <c r="A2" s="4" t="s">
        <v>289</v>
      </c>
      <c r="B2" s="4"/>
      <c r="C2" s="4"/>
      <c r="D2" s="4"/>
      <c r="E2" s="4"/>
    </row>
    <row r="4" customFormat="false" ht="23.85" hidden="false" customHeight="false" outlineLevel="0" collapsed="false">
      <c r="A4" s="6" t="s">
        <v>119</v>
      </c>
      <c r="B4" s="6" t="s">
        <v>120</v>
      </c>
      <c r="C4" s="6" t="s">
        <v>121</v>
      </c>
      <c r="D4" s="6" t="s">
        <v>122</v>
      </c>
      <c r="E4" s="6" t="s">
        <v>123</v>
      </c>
    </row>
    <row r="5" customFormat="false" ht="15" hidden="false" customHeight="false" outlineLevel="0" collapsed="false">
      <c r="A5" s="19" t="s">
        <v>290</v>
      </c>
      <c r="B5" s="20"/>
      <c r="C5" s="20"/>
      <c r="D5" s="20"/>
      <c r="E5" s="20"/>
    </row>
    <row r="6" customFormat="false" ht="30" hidden="false" customHeight="true" outlineLevel="0" collapsed="false">
      <c r="A6" s="2" t="s">
        <v>291</v>
      </c>
      <c r="B6" s="21" t="s">
        <v>135</v>
      </c>
      <c r="C6" s="17"/>
      <c r="D6" s="22" t="s">
        <v>292</v>
      </c>
      <c r="E6" s="12" t="n">
        <v>0.07</v>
      </c>
    </row>
    <row r="7" customFormat="false" ht="30" hidden="false" customHeight="true" outlineLevel="0" collapsed="false">
      <c r="A7" s="2" t="s">
        <v>293</v>
      </c>
      <c r="B7" s="21" t="s">
        <v>135</v>
      </c>
      <c r="C7" s="17"/>
      <c r="D7" s="22" t="s">
        <v>294</v>
      </c>
      <c r="E7" s="12" t="n">
        <v>0.12</v>
      </c>
    </row>
    <row r="8" customFormat="false" ht="30" hidden="false" customHeight="true" outlineLevel="0" collapsed="false">
      <c r="A8" s="2" t="s">
        <v>295</v>
      </c>
      <c r="B8" s="21" t="s">
        <v>135</v>
      </c>
      <c r="C8" s="17"/>
      <c r="D8" s="22" t="s">
        <v>296</v>
      </c>
      <c r="E8" s="12" t="n">
        <v>0.03</v>
      </c>
    </row>
    <row r="9" customFormat="false" ht="30" hidden="false" customHeight="true" outlineLevel="0" collapsed="false">
      <c r="A9" s="3" t="s">
        <v>297</v>
      </c>
      <c r="B9" s="21" t="s">
        <v>135</v>
      </c>
      <c r="C9" s="17"/>
      <c r="D9" s="22"/>
      <c r="E9" s="12" t="n">
        <v>0.07</v>
      </c>
    </row>
    <row r="10" customFormat="false" ht="30" hidden="false" customHeight="true" outlineLevel="0" collapsed="false">
      <c r="A10" s="3" t="s">
        <v>298</v>
      </c>
      <c r="B10" s="21" t="s">
        <v>299</v>
      </c>
      <c r="C10" s="14"/>
      <c r="D10" s="22"/>
      <c r="E10" s="9" t="s">
        <v>300</v>
      </c>
    </row>
    <row r="12" customFormat="false" ht="15" hidden="false" customHeight="false" outlineLevel="0" collapsed="false">
      <c r="A12" s="19" t="s">
        <v>301</v>
      </c>
      <c r="B12" s="20"/>
      <c r="C12" s="20"/>
      <c r="D12" s="20"/>
      <c r="E12" s="20"/>
    </row>
    <row r="13" customFormat="false" ht="30" hidden="false" customHeight="true" outlineLevel="0" collapsed="false">
      <c r="A13" s="2" t="s">
        <v>302</v>
      </c>
      <c r="B13" s="21" t="s">
        <v>135</v>
      </c>
      <c r="C13" s="14"/>
      <c r="D13" s="22" t="s">
        <v>303</v>
      </c>
      <c r="E13" s="9" t="s">
        <v>304</v>
      </c>
    </row>
    <row r="14" customFormat="false" ht="30" hidden="false" customHeight="true" outlineLevel="0" collapsed="false">
      <c r="A14" s="2" t="s">
        <v>305</v>
      </c>
      <c r="B14" s="21" t="s">
        <v>306</v>
      </c>
      <c r="C14" s="15"/>
      <c r="D14" s="22" t="s">
        <v>307</v>
      </c>
      <c r="E14" s="10" t="n">
        <v>10</v>
      </c>
    </row>
    <row r="15" customFormat="false" ht="30" hidden="false" customHeight="true" outlineLevel="0" collapsed="false">
      <c r="A15" s="3" t="s">
        <v>308</v>
      </c>
      <c r="B15" s="21" t="s">
        <v>309</v>
      </c>
      <c r="C15" s="15"/>
      <c r="D15" s="22" t="s">
        <v>310</v>
      </c>
      <c r="E15" s="10" t="n">
        <v>90000</v>
      </c>
    </row>
    <row r="16" customFormat="false" ht="30" hidden="false" customHeight="true" outlineLevel="0" collapsed="false">
      <c r="A16" s="2" t="s">
        <v>311</v>
      </c>
      <c r="B16" s="21" t="s">
        <v>312</v>
      </c>
      <c r="C16" s="15"/>
      <c r="D16" s="22" t="s">
        <v>313</v>
      </c>
      <c r="E16" s="10" t="n">
        <v>100</v>
      </c>
    </row>
    <row r="17" customFormat="false" ht="30" hidden="false" customHeight="true" outlineLevel="0" collapsed="false">
      <c r="A17" s="2" t="s">
        <v>314</v>
      </c>
      <c r="B17" s="21" t="s">
        <v>135</v>
      </c>
      <c r="C17" s="17"/>
      <c r="D17" s="22" t="s">
        <v>315</v>
      </c>
      <c r="E17" s="12" t="n">
        <v>0.85</v>
      </c>
    </row>
    <row r="18" customFormat="false" ht="30" hidden="false" customHeight="true" outlineLevel="0" collapsed="false">
      <c r="A18" s="2" t="s">
        <v>316</v>
      </c>
      <c r="B18" s="21" t="s">
        <v>317</v>
      </c>
      <c r="C18" s="15"/>
      <c r="D18" s="22" t="s">
        <v>318</v>
      </c>
      <c r="E18" s="10" t="n">
        <v>12</v>
      </c>
    </row>
    <row r="20" customFormat="false" ht="15" hidden="false" customHeight="false" outlineLevel="0" collapsed="false">
      <c r="A20" s="19" t="s">
        <v>319</v>
      </c>
      <c r="B20" s="20"/>
      <c r="C20" s="20"/>
      <c r="D20" s="20"/>
      <c r="E20" s="20"/>
    </row>
    <row r="21" customFormat="false" ht="30" hidden="false" customHeight="true" outlineLevel="0" collapsed="false">
      <c r="A21" s="2" t="s">
        <v>320</v>
      </c>
      <c r="B21" s="21" t="s">
        <v>129</v>
      </c>
      <c r="C21" s="14"/>
      <c r="D21" s="22" t="s">
        <v>321</v>
      </c>
      <c r="E21" s="9" t="s">
        <v>322</v>
      </c>
    </row>
    <row r="22" customFormat="false" ht="30" hidden="false" customHeight="true" outlineLevel="0" collapsed="false">
      <c r="A22" s="3" t="s">
        <v>323</v>
      </c>
      <c r="B22" s="21" t="s">
        <v>129</v>
      </c>
      <c r="C22" s="14"/>
      <c r="D22" s="22" t="s">
        <v>324</v>
      </c>
      <c r="E22" s="9" t="s">
        <v>325</v>
      </c>
    </row>
    <row r="23" customFormat="false" ht="30" hidden="false" customHeight="true" outlineLevel="0" collapsed="false">
      <c r="A23" s="3" t="s">
        <v>326</v>
      </c>
      <c r="B23" s="21" t="s">
        <v>129</v>
      </c>
      <c r="C23" s="14"/>
      <c r="D23" s="22" t="s">
        <v>327</v>
      </c>
      <c r="E23" s="9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2" min="11" style="0" width="14"/>
    <col collapsed="false" customWidth="true" hidden="false" outlineLevel="0" max="13" min="13" style="0" width="13"/>
    <col collapsed="false" customWidth="true" hidden="false" outlineLevel="0" max="16" min="14" style="0" width="11"/>
    <col collapsed="false" customWidth="true" hidden="false" outlineLevel="0" max="17" min="17" style="0" width="32"/>
    <col collapsed="false" customWidth="true" hidden="false" outlineLevel="0" max="18" min="18" style="0" width="30"/>
  </cols>
  <sheetData>
    <row r="1" customFormat="false" ht="24" hidden="false" customHeight="true" outlineLevel="0" collapsed="false">
      <c r="A1" s="1" t="s">
        <v>328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43.5" hidden="false" customHeight="true" outlineLevel="0" collapsed="false">
      <c r="A2" s="4" t="s">
        <v>329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customFormat="false" ht="15" hidden="false" customHeight="false" outlineLevel="0" collapsed="false">
      <c r="A3" s="5" t="s">
        <v>17</v>
      </c>
    </row>
    <row r="4" customFormat="false" ht="33.75" hidden="false" customHeight="true" outlineLevel="0" collapsed="false">
      <c r="A4" s="6" t="s">
        <v>330</v>
      </c>
      <c r="B4" s="6" t="s">
        <v>18</v>
      </c>
      <c r="C4" s="6" t="s">
        <v>331</v>
      </c>
      <c r="D4" s="6" t="s">
        <v>332</v>
      </c>
      <c r="E4" s="6" t="s">
        <v>333</v>
      </c>
      <c r="F4" s="6" t="s">
        <v>334</v>
      </c>
      <c r="G4" s="6" t="s">
        <v>335</v>
      </c>
      <c r="H4" s="6" t="s">
        <v>336</v>
      </c>
      <c r="I4" s="6" t="s">
        <v>337</v>
      </c>
      <c r="J4" s="6" t="s">
        <v>338</v>
      </c>
      <c r="K4" s="6" t="s">
        <v>339</v>
      </c>
      <c r="L4" s="6" t="s">
        <v>340</v>
      </c>
      <c r="M4" s="6" t="s">
        <v>341</v>
      </c>
      <c r="N4" s="6" t="s">
        <v>342</v>
      </c>
      <c r="O4" s="6" t="s">
        <v>343</v>
      </c>
      <c r="P4" s="6" t="s">
        <v>344</v>
      </c>
      <c r="Q4" s="6" t="s">
        <v>345</v>
      </c>
      <c r="R4" s="6" t="s">
        <v>346</v>
      </c>
    </row>
    <row r="5" customFormat="false" ht="120" hidden="false" customHeight="true" outlineLevel="0" collapsed="false">
      <c r="A5" s="7" t="s">
        <v>347</v>
      </c>
      <c r="B5" s="7" t="s">
        <v>348</v>
      </c>
      <c r="C5" s="7" t="s">
        <v>280</v>
      </c>
      <c r="D5" s="7" t="s">
        <v>280</v>
      </c>
      <c r="E5" s="7" t="s">
        <v>349</v>
      </c>
      <c r="F5" s="7" t="s">
        <v>350</v>
      </c>
      <c r="G5" s="7" t="s">
        <v>280</v>
      </c>
      <c r="H5" s="7" t="s">
        <v>351</v>
      </c>
      <c r="I5" s="7" t="s">
        <v>280</v>
      </c>
      <c r="J5" s="7" t="s">
        <v>352</v>
      </c>
      <c r="K5" s="8" t="s">
        <v>353</v>
      </c>
      <c r="L5" s="7" t="s">
        <v>354</v>
      </c>
      <c r="M5" s="7" t="s">
        <v>355</v>
      </c>
      <c r="N5" s="7" t="s">
        <v>280</v>
      </c>
      <c r="O5" s="8"/>
      <c r="P5" s="8" t="s">
        <v>356</v>
      </c>
      <c r="Q5" s="7" t="s">
        <v>357</v>
      </c>
      <c r="R5" s="8" t="s">
        <v>358</v>
      </c>
    </row>
    <row r="6" customFormat="false" ht="30" hidden="false" customHeight="true" outlineLevel="0" collapsed="false">
      <c r="A6" s="9" t="s">
        <v>359</v>
      </c>
      <c r="B6" s="9" t="s">
        <v>360</v>
      </c>
      <c r="C6" s="9" t="s">
        <v>361</v>
      </c>
      <c r="D6" s="9" t="s">
        <v>362</v>
      </c>
      <c r="E6" s="9" t="s">
        <v>363</v>
      </c>
      <c r="F6" s="9" t="s">
        <v>364</v>
      </c>
      <c r="G6" s="10" t="n">
        <v>42000</v>
      </c>
      <c r="H6" s="9"/>
      <c r="I6" s="9"/>
      <c r="J6" s="9" t="s">
        <v>365</v>
      </c>
      <c r="K6" s="9"/>
      <c r="L6" s="9"/>
      <c r="M6" s="9"/>
      <c r="N6" s="9"/>
      <c r="O6" s="9"/>
      <c r="P6" s="9"/>
      <c r="Q6" s="9" t="s">
        <v>366</v>
      </c>
      <c r="R6" s="9" t="s">
        <v>367</v>
      </c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5"/>
      <c r="H7" s="15"/>
      <c r="I7" s="16"/>
      <c r="J7" s="14"/>
      <c r="K7" s="16"/>
      <c r="L7" s="16"/>
      <c r="M7" s="16"/>
      <c r="N7" s="17"/>
      <c r="O7" s="16"/>
      <c r="P7" s="16"/>
      <c r="Q7" s="14"/>
      <c r="R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5"/>
      <c r="H8" s="15"/>
      <c r="I8" s="16"/>
      <c r="J8" s="14"/>
      <c r="K8" s="16"/>
      <c r="L8" s="16"/>
      <c r="M8" s="16"/>
      <c r="N8" s="17"/>
      <c r="O8" s="16"/>
      <c r="P8" s="16"/>
      <c r="Q8" s="14"/>
      <c r="R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5"/>
      <c r="H9" s="15"/>
      <c r="I9" s="16"/>
      <c r="J9" s="14"/>
      <c r="K9" s="16"/>
      <c r="L9" s="16"/>
      <c r="M9" s="16"/>
      <c r="N9" s="17"/>
      <c r="O9" s="16"/>
      <c r="P9" s="16"/>
      <c r="Q9" s="14"/>
      <c r="R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5"/>
      <c r="H10" s="15"/>
      <c r="I10" s="16"/>
      <c r="J10" s="14"/>
      <c r="K10" s="16"/>
      <c r="L10" s="16"/>
      <c r="M10" s="16"/>
      <c r="N10" s="17"/>
      <c r="O10" s="16"/>
      <c r="P10" s="16"/>
      <c r="Q10" s="14"/>
      <c r="R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5"/>
      <c r="H11" s="15"/>
      <c r="I11" s="16"/>
      <c r="J11" s="14"/>
      <c r="K11" s="16"/>
      <c r="L11" s="16"/>
      <c r="M11" s="16"/>
      <c r="N11" s="17"/>
      <c r="O11" s="16"/>
      <c r="P11" s="16"/>
      <c r="Q11" s="14"/>
      <c r="R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5"/>
      <c r="H12" s="15"/>
      <c r="I12" s="16"/>
      <c r="J12" s="14"/>
      <c r="K12" s="16"/>
      <c r="L12" s="16"/>
      <c r="M12" s="16"/>
      <c r="N12" s="17"/>
      <c r="O12" s="16"/>
      <c r="P12" s="16"/>
      <c r="Q12" s="14"/>
      <c r="R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5"/>
      <c r="H13" s="15"/>
      <c r="I13" s="16"/>
      <c r="J13" s="14"/>
      <c r="K13" s="16"/>
      <c r="L13" s="16"/>
      <c r="M13" s="16"/>
      <c r="N13" s="17"/>
      <c r="O13" s="16"/>
      <c r="P13" s="16"/>
      <c r="Q13" s="14"/>
      <c r="R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5"/>
      <c r="H14" s="15"/>
      <c r="I14" s="16"/>
      <c r="J14" s="14"/>
      <c r="K14" s="16"/>
      <c r="L14" s="16"/>
      <c r="M14" s="16"/>
      <c r="N14" s="17"/>
      <c r="O14" s="16"/>
      <c r="P14" s="16"/>
      <c r="Q14" s="14"/>
      <c r="R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5"/>
      <c r="H15" s="15"/>
      <c r="I15" s="16"/>
      <c r="J15" s="14"/>
      <c r="K15" s="16"/>
      <c r="L15" s="16"/>
      <c r="M15" s="16"/>
      <c r="N15" s="17"/>
      <c r="O15" s="16"/>
      <c r="P15" s="16"/>
      <c r="Q15" s="14"/>
      <c r="R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5"/>
      <c r="H16" s="15"/>
      <c r="I16" s="16"/>
      <c r="J16" s="14"/>
      <c r="K16" s="16"/>
      <c r="L16" s="16"/>
      <c r="M16" s="16"/>
      <c r="N16" s="17"/>
      <c r="O16" s="16"/>
      <c r="P16" s="16"/>
      <c r="Q16" s="14"/>
      <c r="R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5"/>
      <c r="H17" s="15"/>
      <c r="I17" s="16"/>
      <c r="J17" s="14"/>
      <c r="K17" s="16"/>
      <c r="L17" s="16"/>
      <c r="M17" s="16"/>
      <c r="N17" s="17"/>
      <c r="O17" s="16"/>
      <c r="P17" s="16"/>
      <c r="Q17" s="14"/>
      <c r="R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5"/>
      <c r="H18" s="15"/>
      <c r="I18" s="16"/>
      <c r="J18" s="14"/>
      <c r="K18" s="16"/>
      <c r="L18" s="16"/>
      <c r="M18" s="16"/>
      <c r="N18" s="17"/>
      <c r="O18" s="16"/>
      <c r="P18" s="16"/>
      <c r="Q18" s="14"/>
      <c r="R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5"/>
      <c r="H19" s="15"/>
      <c r="I19" s="16"/>
      <c r="J19" s="14"/>
      <c r="K19" s="16"/>
      <c r="L19" s="16"/>
      <c r="M19" s="16"/>
      <c r="N19" s="17"/>
      <c r="O19" s="16"/>
      <c r="P19" s="16"/>
      <c r="Q19" s="14"/>
      <c r="R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5"/>
      <c r="H20" s="15"/>
      <c r="I20" s="16"/>
      <c r="J20" s="14"/>
      <c r="K20" s="16"/>
      <c r="L20" s="16"/>
      <c r="M20" s="16"/>
      <c r="N20" s="17"/>
      <c r="O20" s="16"/>
      <c r="P20" s="16"/>
      <c r="Q20" s="14"/>
      <c r="R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5"/>
      <c r="H21" s="15"/>
      <c r="I21" s="16"/>
      <c r="J21" s="14"/>
      <c r="K21" s="16"/>
      <c r="L21" s="16"/>
      <c r="M21" s="16"/>
      <c r="N21" s="17"/>
      <c r="O21" s="16"/>
      <c r="P21" s="16"/>
      <c r="Q21" s="14"/>
      <c r="R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5"/>
      <c r="H22" s="15"/>
      <c r="I22" s="16"/>
      <c r="J22" s="14"/>
      <c r="K22" s="16"/>
      <c r="L22" s="16"/>
      <c r="M22" s="16"/>
      <c r="N22" s="17"/>
      <c r="O22" s="16"/>
      <c r="P22" s="16"/>
      <c r="Q22" s="14"/>
      <c r="R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5"/>
      <c r="H23" s="15"/>
      <c r="I23" s="16"/>
      <c r="J23" s="14"/>
      <c r="K23" s="16"/>
      <c r="L23" s="16"/>
      <c r="M23" s="16"/>
      <c r="N23" s="17"/>
      <c r="O23" s="16"/>
      <c r="P23" s="16"/>
      <c r="Q23" s="14"/>
      <c r="R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5"/>
      <c r="H24" s="15"/>
      <c r="I24" s="16"/>
      <c r="J24" s="14"/>
      <c r="K24" s="16"/>
      <c r="L24" s="16"/>
      <c r="M24" s="16"/>
      <c r="N24" s="17"/>
      <c r="O24" s="16"/>
      <c r="P24" s="16"/>
      <c r="Q24" s="14"/>
      <c r="R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5"/>
      <c r="H25" s="15"/>
      <c r="I25" s="16"/>
      <c r="J25" s="14"/>
      <c r="K25" s="16"/>
      <c r="L25" s="16"/>
      <c r="M25" s="16"/>
      <c r="N25" s="17"/>
      <c r="O25" s="16"/>
      <c r="P25" s="16"/>
      <c r="Q25" s="14"/>
      <c r="R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5"/>
      <c r="H26" s="15"/>
      <c r="I26" s="16"/>
      <c r="J26" s="14"/>
      <c r="K26" s="16"/>
      <c r="L26" s="16"/>
      <c r="M26" s="16"/>
      <c r="N26" s="17"/>
      <c r="O26" s="16"/>
      <c r="P26" s="16"/>
      <c r="Q26" s="14"/>
      <c r="R26" s="14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11" min="9" style="0" width="22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" t="s">
        <v>368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43.5" hidden="false" customHeight="true" outlineLevel="0" collapsed="false">
      <c r="A2" s="4" t="s">
        <v>369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5" t="s">
        <v>17</v>
      </c>
    </row>
    <row r="4" customFormat="false" ht="33.75" hidden="false" customHeight="true" outlineLevel="0" collapsed="false">
      <c r="A4" s="6" t="s">
        <v>370</v>
      </c>
      <c r="B4" s="6" t="s">
        <v>371</v>
      </c>
      <c r="C4" s="6" t="s">
        <v>372</v>
      </c>
      <c r="D4" s="6" t="s">
        <v>373</v>
      </c>
      <c r="E4" s="6" t="s">
        <v>374</v>
      </c>
      <c r="F4" s="6" t="s">
        <v>375</v>
      </c>
      <c r="G4" s="6" t="s">
        <v>376</v>
      </c>
      <c r="H4" s="6" t="s">
        <v>377</v>
      </c>
      <c r="I4" s="6" t="s">
        <v>378</v>
      </c>
      <c r="J4" s="6" t="s">
        <v>379</v>
      </c>
      <c r="K4" s="6" t="s">
        <v>380</v>
      </c>
      <c r="L4" s="6" t="s">
        <v>43</v>
      </c>
    </row>
    <row r="5" customFormat="false" ht="120" hidden="false" customHeight="true" outlineLevel="0" collapsed="false">
      <c r="A5" s="7" t="s">
        <v>280</v>
      </c>
      <c r="B5" s="7" t="s">
        <v>381</v>
      </c>
      <c r="C5" s="7" t="s">
        <v>280</v>
      </c>
      <c r="D5" s="7" t="s">
        <v>280</v>
      </c>
      <c r="E5" s="7" t="s">
        <v>382</v>
      </c>
      <c r="F5" s="7" t="s">
        <v>280</v>
      </c>
      <c r="G5" s="7" t="s">
        <v>280</v>
      </c>
      <c r="H5" s="8" t="s">
        <v>383</v>
      </c>
      <c r="I5" s="7" t="s">
        <v>280</v>
      </c>
      <c r="J5" s="8"/>
      <c r="K5" s="7" t="s">
        <v>280</v>
      </c>
      <c r="L5" s="8" t="s">
        <v>384</v>
      </c>
    </row>
    <row r="6" customFormat="false" ht="30" hidden="false" customHeight="true" outlineLevel="0" collapsed="false">
      <c r="A6" s="9" t="s">
        <v>385</v>
      </c>
      <c r="B6" s="9" t="s">
        <v>386</v>
      </c>
      <c r="C6" s="9" t="s">
        <v>387</v>
      </c>
      <c r="D6" s="9" t="s">
        <v>388</v>
      </c>
      <c r="E6" s="9" t="s">
        <v>253</v>
      </c>
      <c r="F6" s="13" t="n">
        <v>25.5</v>
      </c>
      <c r="G6" s="9"/>
      <c r="H6" s="9"/>
      <c r="I6" s="9"/>
      <c r="J6" s="9"/>
      <c r="K6" s="9" t="s">
        <v>389</v>
      </c>
      <c r="L6" s="9" t="s">
        <v>390</v>
      </c>
    </row>
    <row r="7" customFormat="false" ht="15" hidden="false" customHeight="false" outlineLevel="0" collapsed="false">
      <c r="A7" s="14"/>
      <c r="B7" s="14"/>
      <c r="C7" s="14"/>
      <c r="D7" s="14"/>
      <c r="E7" s="14"/>
      <c r="F7" s="18"/>
      <c r="G7" s="18"/>
      <c r="H7" s="17"/>
      <c r="I7" s="14"/>
      <c r="J7" s="14"/>
      <c r="K7" s="14"/>
      <c r="L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8"/>
      <c r="G8" s="18"/>
      <c r="H8" s="17"/>
      <c r="I8" s="14"/>
      <c r="J8" s="14"/>
      <c r="K8" s="14"/>
      <c r="L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8"/>
      <c r="G9" s="18"/>
      <c r="H9" s="17"/>
      <c r="I9" s="14"/>
      <c r="J9" s="14"/>
      <c r="K9" s="14"/>
      <c r="L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8"/>
      <c r="G10" s="18"/>
      <c r="H10" s="17"/>
      <c r="I10" s="14"/>
      <c r="J10" s="14"/>
      <c r="K10" s="14"/>
      <c r="L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8"/>
      <c r="G11" s="18"/>
      <c r="H11" s="17"/>
      <c r="I11" s="14"/>
      <c r="J11" s="14"/>
      <c r="K11" s="14"/>
      <c r="L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8"/>
      <c r="G12" s="18"/>
      <c r="H12" s="17"/>
      <c r="I12" s="14"/>
      <c r="J12" s="14"/>
      <c r="K12" s="14"/>
      <c r="L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8"/>
      <c r="G13" s="18"/>
      <c r="H13" s="17"/>
      <c r="I13" s="14"/>
      <c r="J13" s="14"/>
      <c r="K13" s="14"/>
      <c r="L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8"/>
      <c r="G14" s="18"/>
      <c r="H14" s="17"/>
      <c r="I14" s="14"/>
      <c r="J14" s="14"/>
      <c r="K14" s="14"/>
      <c r="L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8"/>
      <c r="G15" s="18"/>
      <c r="H15" s="17"/>
      <c r="I15" s="14"/>
      <c r="J15" s="14"/>
      <c r="K15" s="14"/>
      <c r="L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8"/>
      <c r="G16" s="18"/>
      <c r="H16" s="17"/>
      <c r="I16" s="14"/>
      <c r="J16" s="14"/>
      <c r="K16" s="14"/>
      <c r="L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8"/>
      <c r="G17" s="18"/>
      <c r="H17" s="17"/>
      <c r="I17" s="14"/>
      <c r="J17" s="14"/>
      <c r="K17" s="14"/>
      <c r="L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8"/>
      <c r="G18" s="18"/>
      <c r="H18" s="17"/>
      <c r="I18" s="14"/>
      <c r="J18" s="14"/>
      <c r="K18" s="14"/>
      <c r="L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8"/>
      <c r="G19" s="18"/>
      <c r="H19" s="17"/>
      <c r="I19" s="14"/>
      <c r="J19" s="14"/>
      <c r="K19" s="14"/>
      <c r="L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8"/>
      <c r="G20" s="18"/>
      <c r="H20" s="17"/>
      <c r="I20" s="14"/>
      <c r="J20" s="14"/>
      <c r="K20" s="14"/>
      <c r="L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8"/>
      <c r="G21" s="18"/>
      <c r="H21" s="17"/>
      <c r="I21" s="14"/>
      <c r="J21" s="14"/>
      <c r="K21" s="14"/>
      <c r="L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8"/>
      <c r="G22" s="18"/>
      <c r="H22" s="17"/>
      <c r="I22" s="14"/>
      <c r="J22" s="14"/>
      <c r="K22" s="14"/>
      <c r="L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8"/>
      <c r="G23" s="18"/>
      <c r="H23" s="17"/>
      <c r="I23" s="14"/>
      <c r="J23" s="14"/>
      <c r="K23" s="14"/>
      <c r="L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8"/>
      <c r="G24" s="18"/>
      <c r="H24" s="17"/>
      <c r="I24" s="14"/>
      <c r="J24" s="14"/>
      <c r="K24" s="14"/>
      <c r="L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8"/>
      <c r="G25" s="18"/>
      <c r="H25" s="17"/>
      <c r="I25" s="14"/>
      <c r="J25" s="14"/>
      <c r="K25" s="14"/>
      <c r="L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8"/>
      <c r="G26" s="18"/>
      <c r="H26" s="17"/>
      <c r="I26" s="14"/>
      <c r="J26" s="14"/>
      <c r="K26" s="14"/>
      <c r="L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8"/>
      <c r="G27" s="18"/>
      <c r="H27" s="17"/>
      <c r="I27" s="14"/>
      <c r="J27" s="14"/>
      <c r="K27" s="14"/>
      <c r="L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8"/>
      <c r="G28" s="18"/>
      <c r="H28" s="17"/>
      <c r="I28" s="14"/>
      <c r="J28" s="14"/>
      <c r="K28" s="14"/>
      <c r="L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8"/>
      <c r="G29" s="18"/>
      <c r="H29" s="17"/>
      <c r="I29" s="14"/>
      <c r="J29" s="14"/>
      <c r="K29" s="14"/>
      <c r="L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8"/>
      <c r="G30" s="18"/>
      <c r="H30" s="17"/>
      <c r="I30" s="14"/>
      <c r="J30" s="14"/>
      <c r="K30" s="14"/>
      <c r="L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8"/>
      <c r="G31" s="18"/>
      <c r="H31" s="17"/>
      <c r="I31" s="14"/>
      <c r="J31" s="14"/>
      <c r="K31" s="14"/>
      <c r="L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8"/>
      <c r="G32" s="18"/>
      <c r="H32" s="17"/>
      <c r="I32" s="14"/>
      <c r="J32" s="14"/>
      <c r="K32" s="14"/>
      <c r="L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8"/>
      <c r="G33" s="18"/>
      <c r="H33" s="17"/>
      <c r="I33" s="14"/>
      <c r="J33" s="14"/>
      <c r="K33" s="14"/>
      <c r="L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8"/>
      <c r="G34" s="18"/>
      <c r="H34" s="17"/>
      <c r="I34" s="14"/>
      <c r="J34" s="14"/>
      <c r="K34" s="14"/>
      <c r="L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8"/>
      <c r="G35" s="18"/>
      <c r="H35" s="17"/>
      <c r="I35" s="14"/>
      <c r="J35" s="14"/>
      <c r="K35" s="14"/>
      <c r="L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8"/>
      <c r="G36" s="18"/>
      <c r="H36" s="17"/>
      <c r="I36" s="14"/>
      <c r="J36" s="14"/>
      <c r="K36" s="14"/>
      <c r="L36" s="14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" t="s">
        <v>391</v>
      </c>
      <c r="B1" s="1"/>
      <c r="C1" s="1"/>
      <c r="D1" s="1"/>
    </row>
    <row r="3" customFormat="false" ht="15" hidden="false" customHeight="false" outlineLevel="0" collapsed="false">
      <c r="A3" s="6" t="s">
        <v>392</v>
      </c>
      <c r="B3" s="6" t="s">
        <v>393</v>
      </c>
      <c r="C3" s="6" t="s">
        <v>394</v>
      </c>
      <c r="D3" s="6" t="s">
        <v>395</v>
      </c>
    </row>
    <row r="4" customFormat="false" ht="15" hidden="false" customHeight="false" outlineLevel="0" collapsed="false">
      <c r="A4" s="21" t="n">
        <v>1</v>
      </c>
      <c r="B4" s="21" t="s">
        <v>396</v>
      </c>
      <c r="C4" s="25" t="s">
        <v>397</v>
      </c>
      <c r="D4" s="26" t="s">
        <v>398</v>
      </c>
    </row>
    <row r="5" customFormat="false" ht="15" hidden="false" customHeight="false" outlineLevel="0" collapsed="false">
      <c r="A5" s="21" t="n">
        <v>2</v>
      </c>
      <c r="B5" s="21" t="s">
        <v>399</v>
      </c>
      <c r="C5" s="25" t="s">
        <v>397</v>
      </c>
      <c r="D5" s="26" t="s">
        <v>400</v>
      </c>
    </row>
    <row r="6" customFormat="false" ht="15" hidden="false" customHeight="false" outlineLevel="0" collapsed="false">
      <c r="A6" s="21" t="n">
        <v>3</v>
      </c>
      <c r="B6" s="21" t="s">
        <v>401</v>
      </c>
      <c r="C6" s="25" t="s">
        <v>397</v>
      </c>
      <c r="D6" s="26" t="s">
        <v>402</v>
      </c>
    </row>
    <row r="7" customFormat="false" ht="15" hidden="false" customHeight="false" outlineLevel="0" collapsed="false">
      <c r="A7" s="21" t="n">
        <v>4</v>
      </c>
      <c r="B7" s="21" t="s">
        <v>403</v>
      </c>
      <c r="C7" s="25" t="s">
        <v>397</v>
      </c>
      <c r="D7" s="26" t="s">
        <v>404</v>
      </c>
    </row>
    <row r="8" customFormat="false" ht="15" hidden="false" customHeight="false" outlineLevel="0" collapsed="false">
      <c r="A8" s="21" t="n">
        <v>5</v>
      </c>
      <c r="B8" s="21" t="s">
        <v>405</v>
      </c>
      <c r="C8" s="25" t="s">
        <v>397</v>
      </c>
      <c r="D8" s="26" t="s">
        <v>406</v>
      </c>
    </row>
    <row r="9" customFormat="false" ht="15" hidden="false" customHeight="false" outlineLevel="0" collapsed="false">
      <c r="A9" s="21" t="n">
        <v>6</v>
      </c>
      <c r="B9" s="21" t="s">
        <v>407</v>
      </c>
      <c r="C9" s="25" t="s">
        <v>397</v>
      </c>
      <c r="D9" s="26" t="s">
        <v>408</v>
      </c>
    </row>
    <row r="10" customFormat="false" ht="15" hidden="false" customHeight="false" outlineLevel="0" collapsed="false">
      <c r="A10" s="21" t="n">
        <v>7</v>
      </c>
      <c r="B10" s="21" t="s">
        <v>409</v>
      </c>
      <c r="C10" s="25" t="s">
        <v>397</v>
      </c>
      <c r="D10" s="26" t="s">
        <v>410</v>
      </c>
    </row>
    <row r="11" customFormat="false" ht="15" hidden="false" customHeight="false" outlineLevel="0" collapsed="false">
      <c r="A11" s="21" t="n">
        <v>8</v>
      </c>
      <c r="B11" s="21" t="s">
        <v>411</v>
      </c>
      <c r="C11" s="25" t="s">
        <v>397</v>
      </c>
      <c r="D11" s="26" t="s">
        <v>412</v>
      </c>
    </row>
    <row r="12" customFormat="false" ht="15" hidden="false" customHeight="false" outlineLevel="0" collapsed="false">
      <c r="A12" s="21" t="n">
        <v>9</v>
      </c>
      <c r="B12" s="21" t="s">
        <v>413</v>
      </c>
      <c r="C12" s="25" t="s">
        <v>397</v>
      </c>
      <c r="D12" s="26" t="s">
        <v>414</v>
      </c>
    </row>
    <row r="13" customFormat="false" ht="15" hidden="false" customHeight="false" outlineLevel="0" collapsed="false">
      <c r="A13" s="21" t="n">
        <v>10</v>
      </c>
      <c r="B13" s="21" t="s">
        <v>415</v>
      </c>
      <c r="C13" s="25" t="s">
        <v>397</v>
      </c>
      <c r="D13" s="26" t="s">
        <v>416</v>
      </c>
    </row>
    <row r="15" customFormat="false" ht="15" hidden="false" customHeight="false" outlineLevel="0" collapsed="false">
      <c r="B15" s="5" t="s">
        <v>417</v>
      </c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C4:C13" type="list">
      <formula1>"Não iniciado,Parcial,Completo"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2026-09-27T23:43:38Z</dcterms:created>
  <dc:creator>openpyxl</dc:creator>
  <dc:description/>
  <dc:language>en-US</dc:language>
  <cp:lastModifiedBy/>
  <dcterms:modified xsi:type="dcterms:W3CDTF">2026-09-27T23:43:38Z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