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gras do Edital" sheetId="1" state="visible" r:id="rId3"/>
    <sheet name="Premissas" sheetId="2" state="visible" r:id="rId4"/>
    <sheet name="Rotas" sheetId="3" state="visible" r:id="rId5"/>
    <sheet name="Composição de Custo" sheetId="4" state="visible" r:id="rId6"/>
    <sheet name="Cenários" sheetId="5" state="visible" r:id="rId7"/>
    <sheet name="Proposta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<sst xmlns="http://schemas.openxmlformats.org/spreadsheetml/2006/main" count="385" uniqueCount="348">
  <si>
    <t xml:space="preserve">REGRAS DO EDITAL / TR COM IMPACTO NO CUSTO E NA PARTICIPAÇÃO — PE 089/2026-SERMALI</t>
  </si>
  <si>
    <t xml:space="preserve">Tema</t>
  </si>
  <si>
    <t xml:space="preserve">Regra (fonte)</t>
  </si>
  <si>
    <t xml:space="preserve">Impacto no custo / risco</t>
  </si>
  <si>
    <t xml:space="preserve">Onde está na planilha</t>
  </si>
  <si>
    <t xml:space="preserve">Sessão / plataforma</t>
  </si>
  <si>
    <t xml:space="preserve">28/09/2026 09h, Comprasgov (UASG 987885). Lote único com 2 itens; menor preço por lote; disputa ABERTA; lance mínimo R$ 0,20; lance por valor unitário com 2 casas.</t>
  </si>
  <si>
    <t xml:space="preserve">Mesmo preço/km nos dois itens é o mais simples; o julgamento é pelo valor do lote.</t>
  </si>
  <si>
    <t xml:space="preserve">Cenários!B4</t>
  </si>
  <si>
    <t xml:space="preserve">Preço máximo</t>
  </si>
  <si>
    <t xml:space="preserve">R$ 11,11/km em ambos os itens; valor total R$ 4.906.176 (374.400 + 67.200 km/ano). Cotações de referência: R$ 10,71 a R$ 11,44 (Chapecó, Rondonópolis, Alto Garças).</t>
  </si>
  <si>
    <t xml:space="preserve">Proposta acima do teto é desclassificada; abaixo do piso de custo pode sofrer diligência de exequibilidade (edital 70).</t>
  </si>
  <si>
    <t xml:space="preserve">Composição!B/C pmax</t>
  </si>
  <si>
    <t xml:space="preserve">Pagamento só por km útil</t>
  </si>
  <si>
    <t xml:space="preserve">SRP: paga-se exclusivamente km útil rodado e validado por telemetria + lista de presença eletrônica (TR 3.6, 8.22, 9.31, 10.2–10.7). Sem indenização por ociosidade (TR 3.9, 10.3).</t>
  </si>
  <si>
    <t xml:space="preserve">Custos fixos (folha, vans) não têm garantia de diluição. Fase 1 = só CDR local + UBS; rotas externas na Fase 2.</t>
  </si>
  <si>
    <t xml:space="preserve">Premissas.utilização; Cenários</t>
  </si>
  <si>
    <t xml:space="preserve">Ponto de partida do km útil</t>
  </si>
  <si>
    <t xml:space="preserve">Pacientes: Central de Veículos (R. Francisco Dal Negro, 2684). Servidores: Paço Municipal (TR 8.14). Garagem pública vedada (TR 8.27).</t>
  </si>
  <si>
    <t xml:space="preserve">Km garagem→ponto de partida e retorno vazio não são pagos → km morto + base própria em SJP.</t>
  </si>
  <si>
    <t xml:space="preserve">Premissas.km_morto / garagem</t>
  </si>
  <si>
    <t xml:space="preserve">Frota</t>
  </si>
  <si>
    <t xml:space="preserve">Vans ≥15 lugares, ≤5 anos E ≤150.000 km, mínimo 6 vans na frota inicial, ajuste dinâmico de frota (TR 8.8–8.10); substituição em 2 h (quebra) / 48 h (avaria menor).</t>
  </si>
  <si>
    <t xml:space="preserve">Item 01 roda ~300 km/van/dia → ~94 mil km/ano: van usada estoura 150 mil km em 1–2 anos. Reserva técnica obrigatória na prática.</t>
  </si>
  <si>
    <t xml:space="preserve">Premissas.valor_van, deprec, reserva</t>
  </si>
  <si>
    <t xml:space="preserve">Jornada</t>
  </si>
  <si>
    <t xml:space="preserve">Hemodiálise: 3 turnos 06h–19h, seg. a SÁBADO, inclusive feriados (TR 8.2, 8.16); coleta domiciliar antes e entrega depois. Servidores: 07h–17h seg. a sex. (TR 8.25).</t>
  </si>
  <si>
    <t xml:space="preserve">Item 01 exige ~2 motoristas por van ou banco de horas; sábados e feriados = HE/adicional.</t>
  </si>
  <si>
    <t xml:space="preserve">Premissas.mot_por_van_hd, he</t>
  </si>
  <si>
    <t xml:space="preserve">Motoristas</t>
  </si>
  <si>
    <t xml:space="preserve">CNH D + EAR + curso CONTRAN transporte coletivo + curso primeiros socorros (TR 2.26–2.27); declaração de vinculação futura assinada pelos motoristas (Anexo VI); uniforme e crachá (TR 9.19); substituição em 2 h.</t>
  </si>
  <si>
    <t xml:space="preserve">Recrutamento LOCAL (RMC) antes da sessão para assinar o Anexo VI; custos de cursos e toxicológico.</t>
  </si>
  <si>
    <t xml:space="preserve">Premissas.sal_mot, epi</t>
  </si>
  <si>
    <t xml:space="preserve">Telemetria</t>
  </si>
  <si>
    <t xml:space="preserve">Rastreamento GPRS em 100% da frota no dia 1 + sistema HÍBRIDO GPRS/satélite em 60 dias (TR 2.21–2.23, 9.24–9.26); acesso web/app para fiscalização; relatório mensal de telemetria.</t>
  </si>
  <si>
    <t xml:space="preserve">Rastreador híbrido custa 2–3× o convencional; Ituran atual da Azul pode precisar de upgrade satelital.</t>
  </si>
  <si>
    <t xml:space="preserve">Premissas.telemetria</t>
  </si>
  <si>
    <t xml:space="preserve">Controle de embarque</t>
  </si>
  <si>
    <t xml:space="preserve">Registro biométrico/QR Code/app por passageiro integrado ao rastreador; Relatório Consolidado de Frequência mensal; sem registro não há pagamento do km (TR 9.27–9.31).</t>
  </si>
  <si>
    <t xml:space="preserve">Custo de app/dispositivo por van + treinamento; risco de glosa se o motorista não registrar.</t>
  </si>
  <si>
    <t xml:space="preserve">Premissas.embarque</t>
  </si>
  <si>
    <t xml:space="preserve">Seguro</t>
  </si>
  <si>
    <t xml:space="preserve">RCF-V mínimo: R$ 40 mil DM, R$ 100 mil DC, R$ 5 mil DMo (TR 9.17). Laudo técnico de frota em 5 dias úteis (TR 5.7).</t>
  </si>
  <si>
    <t xml:space="preserve">Apólice específica por van vinculada ao contrato.</t>
  </si>
  <si>
    <t xml:space="preserve">Premissas.seguro, laudo</t>
  </si>
  <si>
    <t xml:space="preserve">Insumos por conta da contratada</t>
  </si>
  <si>
    <t xml:space="preserve">Combustível, ARLA (notas arquivadas), lubrificantes, pneus, manutenção, seguros, taxas, licenciamento, alimentação e fardamento (TR 5.2, 8.6).</t>
  </si>
  <si>
    <t xml:space="preserve">Todos os insumos estão na composição; ARLA é obrigatório e fiscalizado.</t>
  </si>
  <si>
    <t xml:space="preserve">Premissas seção 5</t>
  </si>
  <si>
    <t xml:space="preserve">Pedágio</t>
  </si>
  <si>
    <t xml:space="preserve">Edital NÃO prevê reembolso de pedágio. Rotas externas: Curitiba (sem pedágio), Campo Largo (BR-277 — praça da nova concessão), Campina Grande do Sul (BR-116, praça normalmente após a cidade). Rotas UBS: BR-376 km 615–621 (praça de SJP no km ~632).</t>
  </si>
  <si>
    <t xml:space="preserve">Pedágio entra no custo; confirmar na vistoria (facultativa — TR 5.4–5.6) quais trajetos cruzam praças.</t>
  </si>
  <si>
    <t xml:space="preserve">Premissas seção 6; Rotas col. J–K</t>
  </si>
  <si>
    <t xml:space="preserve">Reajuste</t>
  </si>
  <si>
    <t xml:space="preserve">Preços fixos por 12 meses contados de 22/06/2026 (data do orçamento); depois IPCA a pedido (cl. 7ª). Início da execução após 05/12/2026.</t>
  </si>
  <si>
    <t xml:space="preserve">Diesel e CCT 2027 sobem antes do 1º reajuste (só em 06/2027) → embutir na margem.</t>
  </si>
  <si>
    <t xml:space="preserve">Premissas.diesel, risco</t>
  </si>
  <si>
    <t xml:space="preserve">Pagamento</t>
  </si>
  <si>
    <t xml:space="preserve">Mensal, até 30 dias da fatura correta, com 6 certidões + folha de pagamento dos empregados do contrato (TR 10.8–10.16); atraso corrigido por IPCA.</t>
  </si>
  <si>
    <t xml:space="preserve">Capital de giro de ~2 meses de custo; certidão de tributos de SJP é exigida (empresa de fora precisa de inscrição/ certidão de não contribuinte).</t>
  </si>
  <si>
    <t xml:space="preserve">Premissas.prazo_pgto, juros_cg</t>
  </si>
  <si>
    <t xml:space="preserve">Tributos</t>
  </si>
  <si>
    <t xml:space="preserve">Serviço prestado em SJP: ISS devido ao município da prestação (transporte municipal). Viagens intermunicipais (Curitiba, Campo Largo, Campina G. do Sul) = ICMS (PR), não ISS.</t>
  </si>
  <si>
    <t xml:space="preserve">Definir com a contabilidade o enquadramento (ISS × ICMS, retenção na fonte, inscrição estadual PR). Diferença de até ~9 p.p. no preço.</t>
  </si>
  <si>
    <t xml:space="preserve">Premissas seção 7</t>
  </si>
  <si>
    <t xml:space="preserve">Habilitação</t>
  </si>
  <si>
    <t xml:space="preserve">Atestados somando ≥25% de 441.600 km/ano (=110.400 km/ano) em transporte coletivo de passageiros em vans/similares com rotas e monitoramento (TR 2.16–2.17); aceita escolar/funcionários. Certidões: federal, estadual, municipal da sede E de SJP, FGTS, CNDT, falência (≤90 dias), declaração TCE/PR.</t>
  </si>
  <si>
    <t xml:space="preserve">Azul atende com atestados de fretamento/escolar; providenciar certidão de SJP.</t>
  </si>
  <si>
    <t xml:space="preserve">—</t>
  </si>
  <si>
    <t xml:space="preserve">Sanções</t>
  </si>
  <si>
    <t xml:space="preserve">Multa de 0,5% a 30% sobre o valor do objeto; impedimento de licitar. Vedada subcontratação do objeto principal (TR 5.3).</t>
  </si>
  <si>
    <t xml:space="preserve">Contingência de 3% sobre custo direto.</t>
  </si>
  <si>
    <t xml:space="preserve">Premissas.risco</t>
  </si>
  <si>
    <t xml:space="preserve">PLANILHA DE CUSTOS — PREGÃO ELETRÔNICO 089/2026-SERMALI — SÃO JOSÉ DOS PINHAIS/PR — Transporte de pacientes SUS (hemodiálise) e servidores (vans ≥15 lug.)</t>
  </si>
  <si>
    <t xml:space="preserve">Legenda: azul = entrada editável · amarelo = preencher · preto = fórmula · verde = link de outra aba. Premissas de custo são ESTIMATIVAS DE MERCADO (Curitiba/RMC, set/2026) — troque pelos números reais da Azul Mob. Sessão: 28/09/2026 09h (Comprasgov, UASG 987885). Preço máximo: R$ 11,11/km nos 2 itens. Lote único, menor preço por lote, disputa aberta, lance mínimo R$ 0,20.</t>
  </si>
  <si>
    <t xml:space="preserve">Item</t>
  </si>
  <si>
    <t xml:space="preserve">Valor</t>
  </si>
  <si>
    <t xml:space="preserve">Unid.</t>
  </si>
  <si>
    <t xml:space="preserve">Observação / fonte / regra do edital</t>
  </si>
  <si>
    <t xml:space="preserve">1. DADOS DO LICITANTE</t>
  </si>
  <si>
    <t xml:space="preserve">Razão social</t>
  </si>
  <si>
    <t xml:space="preserve">AZUL TRANSPORTES E TURISMO LTDA</t>
  </si>
  <si>
    <t xml:space="preserve">Nome fantasia Azul Mob.</t>
  </si>
  <si>
    <t xml:space="preserve">CNPJ</t>
  </si>
  <si>
    <t xml:space="preserve">10.764.533/0001-01</t>
  </si>
  <si>
    <t xml:space="preserve">Endereço da sede</t>
  </si>
  <si>
    <t xml:space="preserve">PREENCHER (São Paulo/SP). Atenção: o edital exige certidão de tributos municipais de São José dos Pinhais também (TR 2.9).</t>
  </si>
  <si>
    <t xml:space="preserve">Representante legal (nome / RG / CPF)</t>
  </si>
  <si>
    <t xml:space="preserve">PREENCHER — assina proposta, Anexo VI (vinculação dos motoristas) e declaração de rastreamento.</t>
  </si>
  <si>
    <t xml:space="preserve">2. PARÂMETROS DO CONTRATO (extraídos do edital / TR nº 225/2026)</t>
  </si>
  <si>
    <t xml:space="preserve">Vigência considerada</t>
  </si>
  <si>
    <t xml:space="preserve">meses</t>
  </si>
  <si>
    <t xml:space="preserve">Ata 12 meses prorrogável; contrato 12 meses prorrogável até 10 anos (TR 4.6/4.7). Início após 05/12/2026 (TR 8.1).</t>
  </si>
  <si>
    <t xml:space="preserve">Dias de operação/mês — Item 01 hemodiálise</t>
  </si>
  <si>
    <t xml:space="preserve">dias</t>
  </si>
  <si>
    <t xml:space="preserve">Segunda a SÁBADO, inclusive feriados (TR 8.2/8.16).</t>
  </si>
  <si>
    <t xml:space="preserve">Dias de operação/mês — Item 02 servidores</t>
  </si>
  <si>
    <t xml:space="preserve">Segunda a sexta, 07h00–17h00 (TR 8.25).</t>
  </si>
  <si>
    <t xml:space="preserve">Utilização esperada do km máximo registrado</t>
  </si>
  <si>
    <t xml:space="preserve">%</t>
  </si>
  <si>
    <t xml:space="preserve">RISCO-CHAVE: SRP paga só km útil validado (telemetria + presença). Fase 1 = só CDR local + UBS; rotas externas (Curitiba etc.) entram na Fase 2, gradualmente (TR 3.3–3.9). Sem indenização por ociosidade (TR 10.3). Use 0,7–1,0 para testar.</t>
  </si>
  <si>
    <t xml:space="preserve">Km improdutivo (garagem ↔ ponto de partida, retornos vazios)</t>
  </si>
  <si>
    <t xml:space="preserve">% do km útil</t>
  </si>
  <si>
    <t xml:space="preserve">Km útil conta a partir da Central de Veículos (pacientes) ou Paço Municipal (servidores) — TR 8.14. Deslocamento da garagem própria até lá NÃO é pago; garagem pública é vedada (TR 8.27).</t>
  </si>
  <si>
    <t xml:space="preserve">Reserva técnica de frota</t>
  </si>
  <si>
    <t xml:space="preserve">% da frota</t>
  </si>
  <si>
    <t xml:space="preserve">Substituição em até 2 h por quebra (TR 8.4) e 48 h por avaria menor (TR 9.18) → 1 van reserva para cada ~7. Frota inicial mínima: 6 vans (TR 8.8).</t>
  </si>
  <si>
    <t xml:space="preserve">3. MÃO DE OBRA</t>
  </si>
  <si>
    <t xml:space="preserve">Salário base — motorista de van (CNH D + EAR + curso coletivo)</t>
  </si>
  <si>
    <t xml:space="preserve">R$/mês</t>
  </si>
  <si>
    <t xml:space="preserve">ESTIMATIVA CCT SETRANSP/SINDIMOC Curitiba-RMC 2026 (motorista de micro/van). Exige curso CONTRAN transporte coletivo + primeiros socorros (TR 2.26/2.27).</t>
  </si>
  <si>
    <t xml:space="preserve">Motoristas por van — Item 01 (3 turnos 06h–19h + coleta domiciliar)</t>
  </si>
  <si>
    <t xml:space="preserve">motoristas/van</t>
  </si>
  <si>
    <t xml:space="preserve">Jornada útil ≈ 05h00–20h00 (15 h) → 2 motoristas por van ou 1 + escala. 1,8 = 2 motoristas com folgas compensadas por reserva. Sábado = jornada 44 h/sem.</t>
  </si>
  <si>
    <t xml:space="preserve">Motoristas por van — Item 02 (07h–17h, ociosa no meio do dia)</t>
  </si>
  <si>
    <t xml:space="preserve">1 motorista; horas de espera são jornada (TR 8.26 — veículo livre, mas pontualidade obrigatória).</t>
  </si>
  <si>
    <t xml:space="preserve">Horas extras / adicional (média sobre salário)</t>
  </si>
  <si>
    <t xml:space="preserve">Sábados, feriados (TR 8.2), atrasos de clínica. Estimativa.</t>
  </si>
  <si>
    <t xml:space="preserve">Encargos e provisões (INSS patronal, RAT, FGTS, férias+1/3, 13º, rescisão)</t>
  </si>
  <si>
    <t xml:space="preserve">Regime CLT, lucro presumido/real (não Simples). Folha deve ser apresentada com a NF (TR 10.16).</t>
  </si>
  <si>
    <t xml:space="preserve">Benefícios (VA/VR + cesta + seguro de vida + VT)</t>
  </si>
  <si>
    <t xml:space="preserve">R$/mês por func.</t>
  </si>
  <si>
    <t xml:space="preserve">Curitiba/RMC: VA ~R$ 30/dia + VT (equipe local). Alimentação e fardamento são da contratada (TR 8.6).</t>
  </si>
  <si>
    <t xml:space="preserve">Uniforme, crachá, EPI, ASO, toxicológico, cursos</t>
  </si>
  <si>
    <t xml:space="preserve">Uniforme + crachá obrigatórios (TR 9.19); curso primeiros socorros; toxicológico CNH D.</t>
  </si>
  <si>
    <t xml:space="preserve">Preposto / supervisor local + apoio administrativo</t>
  </si>
  <si>
    <t xml:space="preserve">R$/mês (total)</t>
  </si>
  <si>
    <t xml:space="preserve">Preposto formal obrigatório (TR 9.4). Relatórios mensais de telemetria + presença (TR 10.5). Salário + encargos.</t>
  </si>
  <si>
    <t xml:space="preserve">4. VEÍCULO — van ≥15 lugares, ≤5 anos e ≤150.000 km (TR 8.8/8.10) — custo fixo mensal por van</t>
  </si>
  <si>
    <t xml:space="preserve">Valor da van (ex.: Sprinter 415/517, Master, Ducato — 2–3 anos)</t>
  </si>
  <si>
    <t xml:space="preserve">R$</t>
  </si>
  <si>
    <t xml:space="preserve">ESTIMATIVA FIPE set/2026. Vans com &gt;5 anos ou &gt;150 mil km ficam INELEGÍVEIS durante o contrato → renovação obrigatória.</t>
  </si>
  <si>
    <t xml:space="preserve">Depreciação anual</t>
  </si>
  <si>
    <t xml:space="preserve">% a.a.</t>
  </si>
  <si>
    <t xml:space="preserve">Van roda ~90–100 mil km/ano no Item 01 → atinge 150 mil km em ~18 meses se comprada usada. Considere veículo 0 km ou troca.</t>
  </si>
  <si>
    <t xml:space="preserve">Custo de capital / financiamento (CDC/consórcio)</t>
  </si>
  <si>
    <t xml:space="preserve">Taxa média dos contratos de financiamento da Azul.</t>
  </si>
  <si>
    <t xml:space="preserve">Seguro casco + RCF-V (DM 40 mil / DC 100 mil / DMo 5 mil — TR 9.17)</t>
  </si>
  <si>
    <t xml:space="preserve">ESTIMATIVA. Apólice exigida antes do início.</t>
  </si>
  <si>
    <t xml:space="preserve">IPVA + licenciamento + DPVAT (PR)</t>
  </si>
  <si>
    <t xml:space="preserve">R$/ano</t>
  </si>
  <si>
    <t xml:space="preserve">PR: micro-ônibus/transporte coletivo tem alíquota reduzida; conferir enquadramento da van.</t>
  </si>
  <si>
    <t xml:space="preserve">Telemetria HÍBRIDA (GPRS + satélite) + plataforma web</t>
  </si>
  <si>
    <t xml:space="preserve">R$/mês por van</t>
  </si>
  <si>
    <t xml:space="preserve">Rastreamento GPRS no dia 1 e satélite/híbrido em 60 dias (TR 2.21–2.23, 9.24–9.26). Ituran/Onixsat/Sascar híbrido custa 2–3× o GPRS comum.</t>
  </si>
  <si>
    <t xml:space="preserve">Sistema de controle de embarque (QR Code/biometria/app) + relatório de frequência</t>
  </si>
  <si>
    <t xml:space="preserve">Obrigatório e condição de pagamento (TR 9.27–9.31). App + tablet/celular embarcado.</t>
  </si>
  <si>
    <t xml:space="preserve">Higienização diária + desinfecção periódica</t>
  </si>
  <si>
    <t xml:space="preserve">TR 9.21. Produtos + mão de obra.</t>
  </si>
  <si>
    <t xml:space="preserve">Acessibilidade (barras, estribo/escada móvel) + identificação visual (adesivagem)</t>
  </si>
  <si>
    <t xml:space="preserve">R$ ~2.700 por van amortizado em 5 anos (TR 8.12, 9.20).</t>
  </si>
  <si>
    <t xml:space="preserve">Laudo técnico anual de frota + vistorias</t>
  </si>
  <si>
    <t xml:space="preserve">R$/ano por van</t>
  </si>
  <si>
    <t xml:space="preserve">Relatório assinado por profissional em 5 dias úteis (TR 5.7); CRLV anual (TR 8.11).</t>
  </si>
  <si>
    <t xml:space="preserve">Garagem / base operacional em São José dos Pinhais (rateio)</t>
  </si>
  <si>
    <t xml:space="preserve">ESTIMATIVA: pátio + sala ~R$ 6.000/mês ÷ 8–9 vans. Sede da Azul é em SP → base local obrigatória; pátio público vedado (TR 8.27).</t>
  </si>
  <si>
    <t xml:space="preserve">5. INSUMOS VARIÁVEIS (por km rodado)</t>
  </si>
  <si>
    <t xml:space="preserve">Diesel S10 — preço bomba (Curitiba/RMC)</t>
  </si>
  <si>
    <t xml:space="preserve">R$/litro</t>
  </si>
  <si>
    <t xml:space="preserve">ESTIMATIVA ANP PR set/2026. Reajuste só após 12 meses do orçamento (22/06/2026) pelo IPCA — variação de diesel entre 06/2026 e 06/2027 é risco da contratada.</t>
  </si>
  <si>
    <t xml:space="preserve">Consumo médio da van (urbano/rodoviário misto, ar-condicionado)</t>
  </si>
  <si>
    <t xml:space="preserve">km/litro</t>
  </si>
  <si>
    <t xml:space="preserve">Sprinter/Master diesel com carga de passageiros: 8–9,5 km/l.</t>
  </si>
  <si>
    <t xml:space="preserve">ARLA 32 (uso obrigatório, notas arquivadas — TR 5.2)</t>
  </si>
  <si>
    <t xml:space="preserve">R$/km</t>
  </si>
  <si>
    <t xml:space="preserve">~4% do diesel × R$ 4/l.</t>
  </si>
  <si>
    <t xml:space="preserve">Pneus (215/75 R16 — 6 unid. + reserva) e alinhamento</t>
  </si>
  <si>
    <t xml:space="preserve">6 × R$ 1.100 ÷ 55.000 km + serviços.</t>
  </si>
  <si>
    <t xml:space="preserve">Manutenção preventiva + corretiva (peças, óleo, freios, MO)</t>
  </si>
  <si>
    <t xml:space="preserve">Van ≤5 anos, plano de manutenção preventiva obrigatório (TR 9.16). Inclui revisões de concessionária p/ garantia.</t>
  </si>
  <si>
    <t xml:space="preserve">Lavagem externa, lubrificantes, pequenos consumíveis</t>
  </si>
  <si>
    <t xml:space="preserve">6. PEDÁGIO (por passagem; quantidades na aba Rotas)</t>
  </si>
  <si>
    <t xml:space="preserve">Pedágio BR-277 sentido Campo Largo (praça Campo Largo/Balsa Nova) — van cat. 2 eixos</t>
  </si>
  <si>
    <t xml:space="preserve">R$/passagem</t>
  </si>
  <si>
    <t xml:space="preserve">CONFERIR tarifa vigente da nova concessão (Lote 2 – Via Araucária/EPR). Van 2 eixos (rodagem simples) costuma pagar tarifa de automóvel ×1 ou ×2 conforme classe.</t>
  </si>
  <si>
    <t xml:space="preserve">Pedágio BR-116 norte (Campina Grande do Sul)</t>
  </si>
  <si>
    <t xml:space="preserve">Praça mais próxima fica após Campina Grande do Sul (Régis Bittencourt sentido SP); trajeto até clínicas no município normalmente NÃO paga. Ajuste se a clínica ficar além da praça.</t>
  </si>
  <si>
    <t xml:space="preserve">Pedágio BR-376 sul (km 620–632, rotas UBS Malhada/Córrego Fundo/Faxina)</t>
  </si>
  <si>
    <t xml:space="preserve">Praça de pedágio de SJP na BR-376 (Litoral Sul) fica no km ~632; as UBS e PEDs listados estão no km 615–621. CONFERIR na vistoria se algum trecho cruza a praça. Curitiba: sem pedágio.</t>
  </si>
  <si>
    <t xml:space="preserve">% das viagens do Item 01 que vão a Campo Largo (com pedágio)</t>
  </si>
  <si>
    <t xml:space="preserve">Fase 2. Estimativa: maioria dos pacientes fica na CDR local e Curitiba (sem pedágio).</t>
  </si>
  <si>
    <t xml:space="preserve">Passagens de pedágio por viagem a Campo Largo (ida+volta)</t>
  </si>
  <si>
    <t xml:space="preserve">passagens</t>
  </si>
  <si>
    <t xml:space="preserve">7. INDIRETOS, TRIBUTOS E LUCRO</t>
  </si>
  <si>
    <t xml:space="preserve">Administração central (rateio SP: RH, contabilidade, TI, sistema de motoristas)</t>
  </si>
  <si>
    <t xml:space="preserve">% s/ custo direto</t>
  </si>
  <si>
    <t xml:space="preserve">Contingência / risco (ociosidade Fase 1, multas 0,5–30%, sinistros)</t>
  </si>
  <si>
    <t xml:space="preserve">Edital: multa de 0,5% a 30% sobre o valor do objeto; risco de demanda alocado à contratada.</t>
  </si>
  <si>
    <t xml:space="preserve">Lucro líquido desejado</t>
  </si>
  <si>
    <t xml:space="preserve">% s/ preço</t>
  </si>
  <si>
    <t xml:space="preserve">Ajuste para a estratégia de lance (ver aba Cenários).</t>
  </si>
  <si>
    <t xml:space="preserve">PIS</t>
  </si>
  <si>
    <t xml:space="preserve">% s/ fat.</t>
  </si>
  <si>
    <t xml:space="preserve">Lucro presumido (cumulativo).</t>
  </si>
  <si>
    <t xml:space="preserve">COFINS</t>
  </si>
  <si>
    <t xml:space="preserve">IRPJ (base 8% × 15% + adicional)</t>
  </si>
  <si>
    <t xml:space="preserve">Serviços de transporte: base 8%; adicional 10% acima de R$ 20 mil/mês de lucro presumido → ~1,35% efetivo.</t>
  </si>
  <si>
    <t xml:space="preserve">CSLL (base 12% × 9%)</t>
  </si>
  <si>
    <t xml:space="preserve">ISS — São José dos Pinhais (transporte MUNICIPAL de passageiros)</t>
  </si>
  <si>
    <t xml:space="preserve">% s/ fat. municipal</t>
  </si>
  <si>
    <t xml:space="preserve">CONFERIR LC municipal 01/2003 (item 16.01/16.02): 2% a 5%. ISS é devido no município da prestação; empresa de SP recolhe para SJP (retenção na fonte provável).</t>
  </si>
  <si>
    <t xml:space="preserve">ICMS — transporte INTERMUNICIPAL (Curitiba, Campo Largo, Campina G. do Sul)</t>
  </si>
  <si>
    <t xml:space="preserve">% s/ fat. intermunicipal</t>
  </si>
  <si>
    <t xml:space="preserve">ATENÇÃO: transporte intermunicipal de passageiros é fato gerador de ICMS (não ISS). PR: 12% com possibilidade de crédito presumido/regime especial (RICMS-PR). Confirmar com contabilidade — pode exigir inscrição estadual no PR.</t>
  </si>
  <si>
    <t xml:space="preserve">% do faturamento do Item 01 que é intermunicipal (Fase 2)</t>
  </si>
  <si>
    <t xml:space="preserve">Estimativa: rotas externas entram gradualmente. Item 02 é 100% municipal.</t>
  </si>
  <si>
    <t xml:space="preserve">Tributos totais — faturamento municipal</t>
  </si>
  <si>
    <t xml:space="preserve">PIS+COFINS+IRPJ+CSLL+ISS</t>
  </si>
  <si>
    <t xml:space="preserve">Tributos totais — faturamento intermunicipal</t>
  </si>
  <si>
    <t xml:space="preserve">PIS+COFINS+IRPJ+CSLL+ICMS</t>
  </si>
  <si>
    <t xml:space="preserve">Tributos médios — Item 01</t>
  </si>
  <si>
    <t xml:space="preserve">Ponderado pela parcela intermunicipal</t>
  </si>
  <si>
    <t xml:space="preserve">Tributos médios — Item 02</t>
  </si>
  <si>
    <t xml:space="preserve">100% municipal</t>
  </si>
  <si>
    <t xml:space="preserve">Prazo de pagamento (custo financeiro do capital de giro)</t>
  </si>
  <si>
    <t xml:space="preserve">Pagamento em até 30 dias da fatura correta (edital, cl. pagamento). Na prática, medição + documentos (6 certidões + folha) → 45–60 dias.</t>
  </si>
  <si>
    <t xml:space="preserve">Custo do capital de giro</t>
  </si>
  <si>
    <t xml:space="preserve">% a.m.</t>
  </si>
  <si>
    <t xml:space="preserve">Taxa de desconto/antecipação de recebíveis.</t>
  </si>
  <si>
    <t xml:space="preserve">Custo financeiro sobre faturamento</t>
  </si>
  <si>
    <t xml:space="preserve">Juros × prazo médio de recebimento</t>
  </si>
  <si>
    <t xml:space="preserve">ROTAS E QUANTITATIVOS — TR 225/2026 item 12.5 e Anexo II (itinerários)</t>
  </si>
  <si>
    <t xml:space="preserve">Km/mês máximo registrado por rota (edital). Vans e motoristas dimensionados a partir do km/dia e da jornada. Preço máximo R$ 11,11/km nos dois itens (Anexo III).</t>
  </si>
  <si>
    <t xml:space="preserve">Rota</t>
  </si>
  <si>
    <t xml:space="preserve">Km/mês máx. (edital)</t>
  </si>
  <si>
    <t xml:space="preserve">Km/ano máx.</t>
  </si>
  <si>
    <t xml:space="preserve">Dias/mês</t>
  </si>
  <si>
    <t xml:space="preserve">Km/dia</t>
  </si>
  <si>
    <t xml:space="preserve">Vans operacionais</t>
  </si>
  <si>
    <t xml:space="preserve">Viagens/dia (est.)</t>
  </si>
  <si>
    <t xml:space="preserve">Passagens pedágio/mês</t>
  </si>
  <si>
    <t xml:space="preserve">Pedágio R$/mês</t>
  </si>
  <si>
    <t xml:space="preserve">Preço máx. (R$/km)</t>
  </si>
  <si>
    <t xml:space="preserve">Valor máx. anual (R$)</t>
  </si>
  <si>
    <t xml:space="preserve">Hemodiálise — ROTA NORTE</t>
  </si>
  <si>
    <t xml:space="preserve">Hemodiálise — ROTA SUL</t>
  </si>
  <si>
    <t xml:space="preserve">Hemodiálise — ROTA CENTRO</t>
  </si>
  <si>
    <t xml:space="preserve">Hemodiálise — ROTA SUDESTE</t>
  </si>
  <si>
    <t xml:space="preserve">Servidores — ROTA 01 (UBS Campina do Taquaral, Cachoeira, Agaraú, Cotia, Marcelino)</t>
  </si>
  <si>
    <t xml:space="preserve">Servidores — ROTA 02 (UBS Malhada, Córrego Fundo)</t>
  </si>
  <si>
    <t xml:space="preserve">Servidores — ROTA 03 (UBS Faxina, Contenda, Campo Largo da Roseira)</t>
  </si>
  <si>
    <t xml:space="preserve">Subtotal Item 01 — pacientes</t>
  </si>
  <si>
    <t xml:space="preserve">Subtotal Item 02 — servidores</t>
  </si>
  <si>
    <t xml:space="preserve">TOTAL LOTE</t>
  </si>
  <si>
    <t xml:space="preserve">Frota com reserva técnica (vans):</t>
  </si>
  <si>
    <t xml:space="preserve">Leitura do edital: hemodiálise ≈ 1.200 km/dia no total (Anexo II) = 300 km/van/dia em 3 turnos (06h–19h). Servidores: 80/100/80 km/dia, saída 07h, retorno 17h. Vans ≥15 lugares, ≤5 anos, ≤150.000 km; mínimo 6 vans na frota inicial; substituição em 2 h.</t>
  </si>
  <si>
    <t xml:space="preserve">COMPOSIÇÃO DE CUSTO POR ITEM (mensal, na utilização esperada) → CUSTO/KM → PREÇO/KM</t>
  </si>
  <si>
    <t xml:space="preserve">Custos fixos independem do km faturado; por isso o custo/km sobe quando a utilização cai (ver Cenários). Preço = custo ÷ (1 − lucro − tributos − custo financeiro).</t>
  </si>
  <si>
    <t xml:space="preserve">Componente</t>
  </si>
  <si>
    <t xml:space="preserve">Item 01 — Pacientes (R$/mês)</t>
  </si>
  <si>
    <t xml:space="preserve">Item 02 — Servidores (R$/mês)</t>
  </si>
  <si>
    <t xml:space="preserve">Lote (R$/mês)</t>
  </si>
  <si>
    <t xml:space="preserve">Memória de cálculo</t>
  </si>
  <si>
    <t xml:space="preserve">A. KM</t>
  </si>
  <si>
    <t xml:space="preserve">Km útil faturável no mês (máx. edital × utilização)</t>
  </si>
  <si>
    <t xml:space="preserve">Rotas × Premissas.utilização</t>
  </si>
  <si>
    <t xml:space="preserve">Km rodado total (útil + km improdutivo)</t>
  </si>
  <si>
    <t xml:space="preserve">× (1 + km morto)</t>
  </si>
  <si>
    <t xml:space="preserve">Vans operacionais / com reserva</t>
  </si>
  <si>
    <t xml:space="preserve">Rotas (reserva rateada no custo do veículo)</t>
  </si>
  <si>
    <t xml:space="preserve">Rotas</t>
  </si>
  <si>
    <t xml:space="preserve">B. MÃO DE OBRA (fixo)</t>
  </si>
  <si>
    <t xml:space="preserve">Salários motoristas c/ horas extras</t>
  </si>
  <si>
    <t xml:space="preserve">motoristas × salário × (1+HE)</t>
  </si>
  <si>
    <t xml:space="preserve">Encargos e provisões</t>
  </si>
  <si>
    <t xml:space="preserve">× encargos</t>
  </si>
  <si>
    <t xml:space="preserve">Benefícios + uniforme/EPI/cursos</t>
  </si>
  <si>
    <t xml:space="preserve">motoristas × (benefícios + EPI)</t>
  </si>
  <si>
    <t xml:space="preserve">Preposto / supervisão local (rateio por km)</t>
  </si>
  <si>
    <t xml:space="preserve">rateado proporcional ao km</t>
  </si>
  <si>
    <t xml:space="preserve">Subtotal mão de obra</t>
  </si>
  <si>
    <t xml:space="preserve">C. VEÍCULOS (fixo, por van, com reserva técnica)</t>
  </si>
  <si>
    <t xml:space="preserve">Depreciação + custo de capital</t>
  </si>
  <si>
    <t xml:space="preserve">vans × (1+reserva) × valor × (deprec.+capital) ÷ 12</t>
  </si>
  <si>
    <t xml:space="preserve">Seguro casco + RCF-V</t>
  </si>
  <si>
    <t xml:space="preserve">IPVA / licenciamento + laudo anual</t>
  </si>
  <si>
    <t xml:space="preserve">Telemetria híbrida + sistema de embarque</t>
  </si>
  <si>
    <t xml:space="preserve">exigência TR 2.21–2.23 / 9.27</t>
  </si>
  <si>
    <t xml:space="preserve">Higienização + acessibilidade/identificação</t>
  </si>
  <si>
    <t xml:space="preserve">Garagem / base local</t>
  </si>
  <si>
    <t xml:space="preserve">Subtotal veículos</t>
  </si>
  <si>
    <t xml:space="preserve">D. INSUMOS VARIÁVEIS (por km rodado)</t>
  </si>
  <si>
    <t xml:space="preserve">Diesel</t>
  </si>
  <si>
    <t xml:space="preserve">km rodado ÷ km/l × R$/l</t>
  </si>
  <si>
    <t xml:space="preserve">ARLA 32</t>
  </si>
  <si>
    <t xml:space="preserve">Pneus</t>
  </si>
  <si>
    <t xml:space="preserve">Manutenção</t>
  </si>
  <si>
    <t xml:space="preserve">Lavagem / lubrificantes</t>
  </si>
  <si>
    <t xml:space="preserve">aba Rotas × tarifas</t>
  </si>
  <si>
    <t xml:space="preserve">Subtotal variáveis</t>
  </si>
  <si>
    <t xml:space="preserve">E. TOTAIS</t>
  </si>
  <si>
    <t xml:space="preserve">Custo direto</t>
  </si>
  <si>
    <t xml:space="preserve">B + C + D</t>
  </si>
  <si>
    <t xml:space="preserve">Administração central + contingência</t>
  </si>
  <si>
    <t xml:space="preserve">× (adm + risco)</t>
  </si>
  <si>
    <t xml:space="preserve">CUSTO TOTAL / MÊS</t>
  </si>
  <si>
    <t xml:space="preserve">Custo por km útil (R$/km)</t>
  </si>
  <si>
    <t xml:space="preserve">custo ÷ km faturável</t>
  </si>
  <si>
    <t xml:space="preserve">  do qual: custo fixo por km</t>
  </si>
  <si>
    <t xml:space="preserve">  do qual: custo variável por km</t>
  </si>
  <si>
    <t xml:space="preserve">F. PREÇO</t>
  </si>
  <si>
    <t xml:space="preserve">Tributos sobre faturamento (média do item)</t>
  </si>
  <si>
    <t xml:space="preserve">Premissas (ISS municipal / ICMS intermunicipal)</t>
  </si>
  <si>
    <t xml:space="preserve">Custo financeiro (prazo de pagamento)</t>
  </si>
  <si>
    <t xml:space="preserve">Premissas</t>
  </si>
  <si>
    <t xml:space="preserve">Lucro líquido alvo</t>
  </si>
  <si>
    <t xml:space="preserve">PREÇO/KM CALCULADO (R$/km)</t>
  </si>
  <si>
    <t xml:space="preserve">custo/km ÷ (1 − lucro − tributos − financeiro), 2 casas</t>
  </si>
  <si>
    <t xml:space="preserve">Preço máximo do edital (R$/km)</t>
  </si>
  <si>
    <t xml:space="preserve">Anexo III</t>
  </si>
  <si>
    <t xml:space="preserve">Folga vs. preço máximo</t>
  </si>
  <si>
    <t xml:space="preserve">negativo = abaixo do teto</t>
  </si>
  <si>
    <t xml:space="preserve">Preço mínimo para lucro zero (R$/km)</t>
  </si>
  <si>
    <t xml:space="preserve">piso de exequibilidade</t>
  </si>
  <si>
    <t xml:space="preserve">Faturamento mensal ao preço calculado</t>
  </si>
  <si>
    <t xml:space="preserve">Lucro líquido mensal</t>
  </si>
  <si>
    <t xml:space="preserve">Faturamento anual (12 meses)</t>
  </si>
  <si>
    <t xml:space="preserve">Lucro líquido anual</t>
  </si>
  <si>
    <t xml:space="preserve">CENÁRIOS — sensibilidade do preço/km à utilização do km registrado e lucro obtido em cada lance</t>
  </si>
  <si>
    <t xml:space="preserve">Como o SRP só paga km útil e as rotas externas entram na Fase 2, o custo fixo pode ficar diluído em menos km. A tabela mostra o preço/km necessário (lucro alvo) e o lucro real ao preço escolhido, por utilização. Fórmulas usam os custos fixos e variáveis da aba Composição.</t>
  </si>
  <si>
    <t xml:space="preserve">Preço/km a lançar (teste)</t>
  </si>
  <si>
    <t xml:space="preserve">← edite para simular seu lance (lote único: mesmo preço nos 2 itens, teto R$ 11,11; lances de R$ 0,20)</t>
  </si>
  <si>
    <t xml:space="preserve">Utilização do km máximo</t>
  </si>
  <si>
    <t xml:space="preserve">Km útil faturável / mês</t>
  </si>
  <si>
    <t xml:space="preserve">Custo total / mês (R$)</t>
  </si>
  <si>
    <t xml:space="preserve">Preço/km p/ lucro alvo (R$/km)</t>
  </si>
  <si>
    <t xml:space="preserve">Preço/km lucro zero (R$/km)</t>
  </si>
  <si>
    <t xml:space="preserve">— Ao preço de teste (B4) —</t>
  </si>
  <si>
    <t xml:space="preserve">Faturamento / mês (R$)</t>
  </si>
  <si>
    <t xml:space="preserve">Lucro líquido / mês (R$)</t>
  </si>
  <si>
    <t xml:space="preserve">Margem líquida</t>
  </si>
  <si>
    <t xml:space="preserve">Lucro líquido / ano (R$)</t>
  </si>
  <si>
    <t xml:space="preserve">Lucro / van / mês (R$)</t>
  </si>
  <si>
    <t xml:space="preserve">Leitura: a coluna 100% é o cenário do edital; 60–70% representa a Fase 1 (só CDR local + UBS, sem rotas externas). Se o lucro/mês ficar negativo na coluna de 60–70%, o lance está exposto ao risco de ociosidade que o TR 10.3 aloca à contratada.</t>
  </si>
  <si>
    <t xml:space="preserve">PROPOSTA DE PREÇOS — PREGÃO ELETRÔNICO Nº 089/2026-SERMALI — Prefeitura Municipal de São José dos Pinhais/PR — LOTE 01</t>
  </si>
  <si>
    <t xml:space="preserve">Licitante:</t>
  </si>
  <si>
    <t xml:space="preserve">Endereço:</t>
  </si>
  <si>
    <t xml:space="preserve">Representante:</t>
  </si>
  <si>
    <t xml:space="preserve">Descrição do serviço</t>
  </si>
  <si>
    <t xml:space="preserve">Quant. km/ano</t>
  </si>
  <si>
    <t xml:space="preserve">Preço proposto (R$/km)</t>
  </si>
  <si>
    <t xml:space="preserve">Valor total (R$)</t>
  </si>
  <si>
    <t xml:space="preserve">SERVIÇO DE TRANSPORTE DE PACIENTES – DIÁLISE (rotas Norte, Sul, Centro e Sudeste — 7.800 km/mês cada)</t>
  </si>
  <si>
    <t xml:space="preserve">SERVIÇO DE TRANSPORTE C/ VAN – SERVIDORES (rotas 01, 02 e 03 — UBS rurais)</t>
  </si>
  <si>
    <t xml:space="preserve">VALOR TOTAL DO LOTE 01 (12 meses)</t>
  </si>
  <si>
    <t xml:space="preserve">Valor máximo do edital</t>
  </si>
  <si>
    <t xml:space="preserve">Desconto sobre o valor máximo</t>
  </si>
  <si>
    <t xml:space="preserve">Nota: em lote único com disputa aberta, o lance é dado sobre o valor unitário; o preço proposto aqui é o preço médio ponderado do lote (mesmo valor nos dois itens), pois o Item 02 isolado custa mais que o teto de R$ 11,11 e só fecha subsidiado pelo Item 01 e confira o lucro na aba Cenários. Os preços incluem todos os custos diretos e indiretos, tributos, pedágios, telemetria, seguros e lucro. Validade: conforme edital. Pagamento: 30 dias. Reajuste: IPCA após 12 meses de 22/06/2026.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</si>
</sst>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"/>
    <numFmt numFmtId="166" formatCode="0.0%"/>
    <numFmt numFmtId="167" formatCode="&quot;R$ &quot;#,##0.00;[RED]&quot;(R$ &quot;#,##0.00\);\-"/>
    <numFmt numFmtId="168" formatCode="#,##0.00"/>
    <numFmt numFmtId="169" formatCode="&quot;R$ &quot;#,##0.0000;[RED]&quot;(R$ &quot;#,##0.0000\);\-"/>
    <numFmt numFmtId="170" formatCode="0.00%"/>
    <numFmt numFmtId="171" formatCode="\+0.0%;\-0.0%;0.0%"/>
    <numFmt numFmtId="172" formatCode="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9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F5496"/>
        <bgColor rgb="FF1F3864"/>
      </patternFill>
    </fill>
    <fill>
      <patternFill patternType="solid">
        <fgColor rgb="FFE2EFDA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1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70"/>
    <col collapsed="false" customWidth="true" hidden="false" outlineLevel="0" max="3" min="3" style="0" width="55"/>
    <col collapsed="false" customWidth="true" hidden="false" outlineLevel="0" max="4" min="4" style="0" width="26"/>
  </cols>
  <sheetData>
    <row r="1" customFormat="false" ht="21.75" hidden="false" customHeight="true" outlineLevel="0" collapsed="false">
      <c r="A1" s="1" t="s">
        <v>0</v>
      </c>
      <c r="B1" s="1"/>
      <c r="C1" s="1"/>
      <c r="D1" s="1"/>
    </row>
    <row r="3" customFormat="false" ht="19.5" hidden="false" customHeight="true" outlineLevel="0" collapsed="false">
      <c r="A3" s="2" t="s">
        <v>1</v>
      </c>
      <c r="B3" s="2" t="s">
        <v>2</v>
      </c>
      <c r="C3" s="2" t="s">
        <v>3</v>
      </c>
      <c r="D3" s="2" t="s">
        <v>4</v>
      </c>
    </row>
    <row r="4" customFormat="false" ht="61.5" hidden="false" customHeight="true" outlineLevel="0" collapsed="false">
      <c r="A4" s="3" t="s">
        <v>5</v>
      </c>
      <c r="B4" s="4" t="s">
        <v>6</v>
      </c>
      <c r="C4" s="4" t="s">
        <v>7</v>
      </c>
      <c r="D4" s="4" t="s">
        <v>8</v>
      </c>
    </row>
    <row r="5" customFormat="false" ht="61.5" hidden="false" customHeight="true" outlineLevel="0" collapsed="false">
      <c r="A5" s="3" t="s">
        <v>9</v>
      </c>
      <c r="B5" s="4" t="s">
        <v>10</v>
      </c>
      <c r="C5" s="4" t="s">
        <v>11</v>
      </c>
      <c r="D5" s="4" t="s">
        <v>12</v>
      </c>
    </row>
    <row r="6" customFormat="false" ht="61.5" hidden="false" customHeight="true" outlineLevel="0" collapsed="false">
      <c r="A6" s="3" t="s">
        <v>13</v>
      </c>
      <c r="B6" s="4" t="s">
        <v>14</v>
      </c>
      <c r="C6" s="4" t="s">
        <v>15</v>
      </c>
      <c r="D6" s="4" t="s">
        <v>16</v>
      </c>
    </row>
    <row r="7" customFormat="false" ht="61.5" hidden="false" customHeight="true" outlineLevel="0" collapsed="false">
      <c r="A7" s="3" t="s">
        <v>17</v>
      </c>
      <c r="B7" s="4" t="s">
        <v>18</v>
      </c>
      <c r="C7" s="4" t="s">
        <v>19</v>
      </c>
      <c r="D7" s="4" t="s">
        <v>20</v>
      </c>
    </row>
    <row r="8" customFormat="false" ht="61.5" hidden="false" customHeight="true" outlineLevel="0" collapsed="false">
      <c r="A8" s="3" t="s">
        <v>21</v>
      </c>
      <c r="B8" s="4" t="s">
        <v>22</v>
      </c>
      <c r="C8" s="4" t="s">
        <v>23</v>
      </c>
      <c r="D8" s="4" t="s">
        <v>24</v>
      </c>
    </row>
    <row r="9" customFormat="false" ht="61.5" hidden="false" customHeight="true" outlineLevel="0" collapsed="false">
      <c r="A9" s="3" t="s">
        <v>25</v>
      </c>
      <c r="B9" s="4" t="s">
        <v>26</v>
      </c>
      <c r="C9" s="4" t="s">
        <v>27</v>
      </c>
      <c r="D9" s="4" t="s">
        <v>28</v>
      </c>
    </row>
    <row r="10" customFormat="false" ht="61.5" hidden="false" customHeight="true" outlineLevel="0" collapsed="false">
      <c r="A10" s="3" t="s">
        <v>29</v>
      </c>
      <c r="B10" s="4" t="s">
        <v>30</v>
      </c>
      <c r="C10" s="4" t="s">
        <v>31</v>
      </c>
      <c r="D10" s="4" t="s">
        <v>32</v>
      </c>
    </row>
    <row r="11" customFormat="false" ht="61.5" hidden="false" customHeight="true" outlineLevel="0" collapsed="false">
      <c r="A11" s="3" t="s">
        <v>33</v>
      </c>
      <c r="B11" s="4" t="s">
        <v>34</v>
      </c>
      <c r="C11" s="4" t="s">
        <v>35</v>
      </c>
      <c r="D11" s="4" t="s">
        <v>36</v>
      </c>
    </row>
    <row r="12" customFormat="false" ht="61.5" hidden="false" customHeight="true" outlineLevel="0" collapsed="false">
      <c r="A12" s="3" t="s">
        <v>37</v>
      </c>
      <c r="B12" s="4" t="s">
        <v>38</v>
      </c>
      <c r="C12" s="4" t="s">
        <v>39</v>
      </c>
      <c r="D12" s="4" t="s">
        <v>40</v>
      </c>
    </row>
    <row r="13" customFormat="false" ht="61.5" hidden="false" customHeight="true" outlineLevel="0" collapsed="false">
      <c r="A13" s="3" t="s">
        <v>41</v>
      </c>
      <c r="B13" s="4" t="s">
        <v>42</v>
      </c>
      <c r="C13" s="4" t="s">
        <v>43</v>
      </c>
      <c r="D13" s="4" t="s">
        <v>44</v>
      </c>
    </row>
    <row r="14" customFormat="false" ht="61.5" hidden="false" customHeight="true" outlineLevel="0" collapsed="false">
      <c r="A14" s="3" t="s">
        <v>45</v>
      </c>
      <c r="B14" s="4" t="s">
        <v>46</v>
      </c>
      <c r="C14" s="4" t="s">
        <v>47</v>
      </c>
      <c r="D14" s="4" t="s">
        <v>48</v>
      </c>
    </row>
    <row r="15" customFormat="false" ht="61.5" hidden="false" customHeight="true" outlineLevel="0" collapsed="false">
      <c r="A15" s="3" t="s">
        <v>49</v>
      </c>
      <c r="B15" s="4" t="s">
        <v>50</v>
      </c>
      <c r="C15" s="4" t="s">
        <v>51</v>
      </c>
      <c r="D15" s="4" t="s">
        <v>52</v>
      </c>
    </row>
    <row r="16" customFormat="false" ht="61.5" hidden="false" customHeight="true" outlineLevel="0" collapsed="false">
      <c r="A16" s="3" t="s">
        <v>53</v>
      </c>
      <c r="B16" s="4" t="s">
        <v>54</v>
      </c>
      <c r="C16" s="4" t="s">
        <v>55</v>
      </c>
      <c r="D16" s="4" t="s">
        <v>56</v>
      </c>
    </row>
    <row r="17" customFormat="false" ht="61.5" hidden="false" customHeight="true" outlineLevel="0" collapsed="false">
      <c r="A17" s="3" t="s">
        <v>57</v>
      </c>
      <c r="B17" s="4" t="s">
        <v>58</v>
      </c>
      <c r="C17" s="4" t="s">
        <v>59</v>
      </c>
      <c r="D17" s="4" t="s">
        <v>60</v>
      </c>
    </row>
    <row r="18" customFormat="false" ht="61.5" hidden="false" customHeight="true" outlineLevel="0" collapsed="false">
      <c r="A18" s="3" t="s">
        <v>61</v>
      </c>
      <c r="B18" s="4" t="s">
        <v>62</v>
      </c>
      <c r="C18" s="4" t="s">
        <v>63</v>
      </c>
      <c r="D18" s="4" t="s">
        <v>64</v>
      </c>
    </row>
    <row r="19" customFormat="false" ht="61.5" hidden="false" customHeight="true" outlineLevel="0" collapsed="false">
      <c r="A19" s="3" t="s">
        <v>65</v>
      </c>
      <c r="B19" s="4" t="s">
        <v>66</v>
      </c>
      <c r="C19" s="4" t="s">
        <v>67</v>
      </c>
      <c r="D19" s="4" t="s">
        <v>68</v>
      </c>
    </row>
    <row r="20" customFormat="false" ht="61.5" hidden="false" customHeight="true" outlineLevel="0" collapsed="false">
      <c r="A20" s="3" t="s">
        <v>69</v>
      </c>
      <c r="B20" s="4" t="s">
        <v>70</v>
      </c>
      <c r="C20" s="4" t="s">
        <v>71</v>
      </c>
      <c r="D20" s="4" t="s">
        <v>72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4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74"/>
  </cols>
  <sheetData>
    <row r="1" customFormat="false" ht="21.75" hidden="false" customHeight="true" outlineLevel="0" collapsed="false">
      <c r="A1" s="1" t="s">
        <v>73</v>
      </c>
      <c r="B1" s="1"/>
      <c r="C1" s="1"/>
      <c r="D1" s="1"/>
    </row>
    <row r="2" customFormat="false" ht="42" hidden="false" customHeight="true" outlineLevel="0" collapsed="false">
      <c r="A2" s="5" t="s">
        <v>74</v>
      </c>
      <c r="B2" s="5"/>
      <c r="C2" s="5"/>
      <c r="D2" s="5"/>
    </row>
    <row r="4" customFormat="false" ht="19.5" hidden="false" customHeight="true" outlineLevel="0" collapsed="false">
      <c r="A4" s="2" t="s">
        <v>75</v>
      </c>
      <c r="B4" s="2" t="s">
        <v>76</v>
      </c>
      <c r="C4" s="2" t="s">
        <v>77</v>
      </c>
      <c r="D4" s="2" t="s">
        <v>78</v>
      </c>
    </row>
    <row r="5" customFormat="false" ht="15" hidden="false" customHeight="false" outlineLevel="0" collapsed="false">
      <c r="A5" s="6" t="s">
        <v>79</v>
      </c>
      <c r="B5" s="7"/>
      <c r="C5" s="7"/>
      <c r="D5" s="7"/>
    </row>
    <row r="6" customFormat="false" ht="15" hidden="false" customHeight="false" outlineLevel="0" collapsed="false">
      <c r="A6" s="8" t="s">
        <v>80</v>
      </c>
      <c r="B6" s="9" t="s">
        <v>81</v>
      </c>
      <c r="C6" s="8"/>
      <c r="D6" s="4" t="s">
        <v>82</v>
      </c>
    </row>
    <row r="7" customFormat="false" ht="15" hidden="false" customHeight="false" outlineLevel="0" collapsed="false">
      <c r="A7" s="8" t="s">
        <v>83</v>
      </c>
      <c r="B7" s="9" t="s">
        <v>84</v>
      </c>
      <c r="C7" s="8"/>
      <c r="D7" s="4"/>
    </row>
    <row r="8" customFormat="false" ht="22.35" hidden="false" customHeight="false" outlineLevel="0" collapsed="false">
      <c r="A8" s="8" t="s">
        <v>85</v>
      </c>
      <c r="B8" s="10"/>
      <c r="C8" s="8"/>
      <c r="D8" s="4" t="s">
        <v>86</v>
      </c>
    </row>
    <row r="9" customFormat="false" ht="22.35" hidden="false" customHeight="false" outlineLevel="0" collapsed="false">
      <c r="A9" s="8" t="s">
        <v>87</v>
      </c>
      <c r="B9" s="10"/>
      <c r="C9" s="8"/>
      <c r="D9" s="4" t="s">
        <v>88</v>
      </c>
    </row>
    <row r="11" customFormat="false" ht="15" hidden="false" customHeight="false" outlineLevel="0" collapsed="false">
      <c r="A11" s="6" t="s">
        <v>89</v>
      </c>
      <c r="B11" s="7"/>
      <c r="C11" s="7"/>
      <c r="D11" s="7"/>
    </row>
    <row r="12" customFormat="false" ht="22.35" hidden="false" customHeight="false" outlineLevel="0" collapsed="false">
      <c r="A12" s="8" t="s">
        <v>90</v>
      </c>
      <c r="B12" s="11" t="n">
        <v>12</v>
      </c>
      <c r="C12" s="8" t="s">
        <v>91</v>
      </c>
      <c r="D12" s="4" t="s">
        <v>92</v>
      </c>
    </row>
    <row r="13" customFormat="false" ht="15" hidden="false" customHeight="false" outlineLevel="0" collapsed="false">
      <c r="A13" s="8" t="s">
        <v>93</v>
      </c>
      <c r="B13" s="11" t="n">
        <v>26</v>
      </c>
      <c r="C13" s="8" t="s">
        <v>94</v>
      </c>
      <c r="D13" s="4" t="s">
        <v>95</v>
      </c>
    </row>
    <row r="14" customFormat="false" ht="15" hidden="false" customHeight="false" outlineLevel="0" collapsed="false">
      <c r="A14" s="8" t="s">
        <v>96</v>
      </c>
      <c r="B14" s="11" t="n">
        <v>22</v>
      </c>
      <c r="C14" s="8" t="s">
        <v>94</v>
      </c>
      <c r="D14" s="4" t="s">
        <v>97</v>
      </c>
    </row>
    <row r="15" customFormat="false" ht="32.8" hidden="false" customHeight="false" outlineLevel="0" collapsed="false">
      <c r="A15" s="8" t="s">
        <v>98</v>
      </c>
      <c r="B15" s="12" t="n">
        <v>0.85</v>
      </c>
      <c r="C15" s="8" t="s">
        <v>99</v>
      </c>
      <c r="D15" s="4" t="s">
        <v>100</v>
      </c>
    </row>
    <row r="16" customFormat="false" ht="22.35" hidden="false" customHeight="false" outlineLevel="0" collapsed="false">
      <c r="A16" s="8" t="s">
        <v>101</v>
      </c>
      <c r="B16" s="12" t="n">
        <v>0.15</v>
      </c>
      <c r="C16" s="8" t="s">
        <v>102</v>
      </c>
      <c r="D16" s="4" t="s">
        <v>103</v>
      </c>
    </row>
    <row r="17" customFormat="false" ht="22.35" hidden="false" customHeight="false" outlineLevel="0" collapsed="false">
      <c r="A17" s="8" t="s">
        <v>104</v>
      </c>
      <c r="B17" s="12" t="n">
        <v>0.15</v>
      </c>
      <c r="C17" s="8" t="s">
        <v>105</v>
      </c>
      <c r="D17" s="4" t="s">
        <v>106</v>
      </c>
    </row>
    <row r="19" customFormat="false" ht="15" hidden="false" customHeight="false" outlineLevel="0" collapsed="false">
      <c r="A19" s="6" t="s">
        <v>107</v>
      </c>
      <c r="B19" s="7"/>
      <c r="C19" s="7"/>
      <c r="D19" s="7"/>
    </row>
    <row r="20" customFormat="false" ht="22.35" hidden="false" customHeight="false" outlineLevel="0" collapsed="false">
      <c r="A20" s="8" t="s">
        <v>108</v>
      </c>
      <c r="B20" s="13" t="n">
        <v>2950</v>
      </c>
      <c r="C20" s="8" t="s">
        <v>109</v>
      </c>
      <c r="D20" s="4" t="s">
        <v>110</v>
      </c>
    </row>
    <row r="21" customFormat="false" ht="22.35" hidden="false" customHeight="false" outlineLevel="0" collapsed="false">
      <c r="A21" s="8" t="s">
        <v>111</v>
      </c>
      <c r="B21" s="14" t="n">
        <v>1.8</v>
      </c>
      <c r="C21" s="8" t="s">
        <v>112</v>
      </c>
      <c r="D21" s="4" t="s">
        <v>113</v>
      </c>
    </row>
    <row r="22" customFormat="false" ht="15" hidden="false" customHeight="false" outlineLevel="0" collapsed="false">
      <c r="A22" s="8" t="s">
        <v>114</v>
      </c>
      <c r="B22" s="14" t="n">
        <v>1</v>
      </c>
      <c r="C22" s="8" t="s">
        <v>112</v>
      </c>
      <c r="D22" s="4" t="s">
        <v>115</v>
      </c>
    </row>
    <row r="23" customFormat="false" ht="15" hidden="false" customHeight="false" outlineLevel="0" collapsed="false">
      <c r="A23" s="8" t="s">
        <v>116</v>
      </c>
      <c r="B23" s="12" t="n">
        <v>0.12</v>
      </c>
      <c r="C23" s="8" t="s">
        <v>99</v>
      </c>
      <c r="D23" s="4" t="s">
        <v>117</v>
      </c>
    </row>
    <row r="24" customFormat="false" ht="22.35" hidden="false" customHeight="false" outlineLevel="0" collapsed="false">
      <c r="A24" s="8" t="s">
        <v>118</v>
      </c>
      <c r="B24" s="12" t="n">
        <v>0.7</v>
      </c>
      <c r="C24" s="8" t="s">
        <v>99</v>
      </c>
      <c r="D24" s="4" t="s">
        <v>119</v>
      </c>
    </row>
    <row r="25" customFormat="false" ht="22.35" hidden="false" customHeight="false" outlineLevel="0" collapsed="false">
      <c r="A25" s="8" t="s">
        <v>120</v>
      </c>
      <c r="B25" s="13" t="n">
        <v>950</v>
      </c>
      <c r="C25" s="8" t="s">
        <v>121</v>
      </c>
      <c r="D25" s="4" t="s">
        <v>122</v>
      </c>
    </row>
    <row r="26" customFormat="false" ht="15" hidden="false" customHeight="false" outlineLevel="0" collapsed="false">
      <c r="A26" s="8" t="s">
        <v>123</v>
      </c>
      <c r="B26" s="13" t="n">
        <v>90</v>
      </c>
      <c r="C26" s="8" t="s">
        <v>121</v>
      </c>
      <c r="D26" s="4" t="s">
        <v>124</v>
      </c>
    </row>
    <row r="27" customFormat="false" ht="22.35" hidden="false" customHeight="false" outlineLevel="0" collapsed="false">
      <c r="A27" s="8" t="s">
        <v>125</v>
      </c>
      <c r="B27" s="13" t="n">
        <v>7500</v>
      </c>
      <c r="C27" s="8" t="s">
        <v>126</v>
      </c>
      <c r="D27" s="4" t="s">
        <v>127</v>
      </c>
    </row>
    <row r="29" customFormat="false" ht="15" hidden="false" customHeight="false" outlineLevel="0" collapsed="false">
      <c r="A29" s="6" t="s">
        <v>128</v>
      </c>
      <c r="B29" s="7"/>
      <c r="C29" s="7"/>
      <c r="D29" s="7"/>
    </row>
    <row r="30" customFormat="false" ht="22.35" hidden="false" customHeight="false" outlineLevel="0" collapsed="false">
      <c r="A30" s="8" t="s">
        <v>129</v>
      </c>
      <c r="B30" s="13" t="n">
        <v>290000</v>
      </c>
      <c r="C30" s="8" t="s">
        <v>130</v>
      </c>
      <c r="D30" s="4" t="s">
        <v>131</v>
      </c>
    </row>
    <row r="31" customFormat="false" ht="22.35" hidden="false" customHeight="false" outlineLevel="0" collapsed="false">
      <c r="A31" s="8" t="s">
        <v>132</v>
      </c>
      <c r="B31" s="12" t="n">
        <v>0.15</v>
      </c>
      <c r="C31" s="8" t="s">
        <v>133</v>
      </c>
      <c r="D31" s="4" t="s">
        <v>134</v>
      </c>
    </row>
    <row r="32" customFormat="false" ht="15" hidden="false" customHeight="false" outlineLevel="0" collapsed="false">
      <c r="A32" s="8" t="s">
        <v>135</v>
      </c>
      <c r="B32" s="12" t="n">
        <v>0.15</v>
      </c>
      <c r="C32" s="8" t="s">
        <v>133</v>
      </c>
      <c r="D32" s="4" t="s">
        <v>136</v>
      </c>
    </row>
    <row r="33" customFormat="false" ht="15" hidden="false" customHeight="false" outlineLevel="0" collapsed="false">
      <c r="A33" s="8" t="s">
        <v>137</v>
      </c>
      <c r="B33" s="13" t="n">
        <v>750</v>
      </c>
      <c r="C33" s="8" t="s">
        <v>109</v>
      </c>
      <c r="D33" s="4" t="s">
        <v>138</v>
      </c>
    </row>
    <row r="34" customFormat="false" ht="15" hidden="false" customHeight="false" outlineLevel="0" collapsed="false">
      <c r="A34" s="8" t="s">
        <v>139</v>
      </c>
      <c r="B34" s="13" t="n">
        <v>3800</v>
      </c>
      <c r="C34" s="8" t="s">
        <v>140</v>
      </c>
      <c r="D34" s="4" t="s">
        <v>141</v>
      </c>
    </row>
    <row r="35" customFormat="false" ht="22.35" hidden="false" customHeight="false" outlineLevel="0" collapsed="false">
      <c r="A35" s="8" t="s">
        <v>142</v>
      </c>
      <c r="B35" s="13" t="n">
        <v>260</v>
      </c>
      <c r="C35" s="8" t="s">
        <v>143</v>
      </c>
      <c r="D35" s="4" t="s">
        <v>144</v>
      </c>
    </row>
    <row r="36" customFormat="false" ht="15" hidden="false" customHeight="false" outlineLevel="0" collapsed="false">
      <c r="A36" s="8" t="s">
        <v>145</v>
      </c>
      <c r="B36" s="13" t="n">
        <v>90</v>
      </c>
      <c r="C36" s="8" t="s">
        <v>143</v>
      </c>
      <c r="D36" s="4" t="s">
        <v>146</v>
      </c>
    </row>
    <row r="37" customFormat="false" ht="15" hidden="false" customHeight="false" outlineLevel="0" collapsed="false">
      <c r="A37" s="8" t="s">
        <v>147</v>
      </c>
      <c r="B37" s="13" t="n">
        <v>320</v>
      </c>
      <c r="C37" s="8" t="s">
        <v>143</v>
      </c>
      <c r="D37" s="4" t="s">
        <v>148</v>
      </c>
    </row>
    <row r="38" customFormat="false" ht="15" hidden="false" customHeight="false" outlineLevel="0" collapsed="false">
      <c r="A38" s="8" t="s">
        <v>149</v>
      </c>
      <c r="B38" s="13" t="n">
        <v>45</v>
      </c>
      <c r="C38" s="8" t="s">
        <v>143</v>
      </c>
      <c r="D38" s="4" t="s">
        <v>150</v>
      </c>
    </row>
    <row r="39" customFormat="false" ht="15" hidden="false" customHeight="false" outlineLevel="0" collapsed="false">
      <c r="A39" s="8" t="s">
        <v>151</v>
      </c>
      <c r="B39" s="13" t="n">
        <v>600</v>
      </c>
      <c r="C39" s="8" t="s">
        <v>152</v>
      </c>
      <c r="D39" s="4" t="s">
        <v>153</v>
      </c>
    </row>
    <row r="40" customFormat="false" ht="22.35" hidden="false" customHeight="false" outlineLevel="0" collapsed="false">
      <c r="A40" s="8" t="s">
        <v>154</v>
      </c>
      <c r="B40" s="13" t="n">
        <v>700</v>
      </c>
      <c r="C40" s="8" t="s">
        <v>143</v>
      </c>
      <c r="D40" s="4" t="s">
        <v>155</v>
      </c>
    </row>
    <row r="42" customFormat="false" ht="15" hidden="false" customHeight="false" outlineLevel="0" collapsed="false">
      <c r="A42" s="6" t="s">
        <v>156</v>
      </c>
      <c r="B42" s="7"/>
      <c r="C42" s="7"/>
      <c r="D42" s="7"/>
    </row>
    <row r="43" customFormat="false" ht="22.35" hidden="false" customHeight="false" outlineLevel="0" collapsed="false">
      <c r="A43" s="8" t="s">
        <v>157</v>
      </c>
      <c r="B43" s="13" t="n">
        <v>6.05</v>
      </c>
      <c r="C43" s="8" t="s">
        <v>158</v>
      </c>
      <c r="D43" s="4" t="s">
        <v>159</v>
      </c>
    </row>
    <row r="44" customFormat="false" ht="15" hidden="false" customHeight="false" outlineLevel="0" collapsed="false">
      <c r="A44" s="8" t="s">
        <v>160</v>
      </c>
      <c r="B44" s="14" t="n">
        <v>8.5</v>
      </c>
      <c r="C44" s="8" t="s">
        <v>161</v>
      </c>
      <c r="D44" s="4" t="s">
        <v>162</v>
      </c>
    </row>
    <row r="45" customFormat="false" ht="15" hidden="false" customHeight="false" outlineLevel="0" collapsed="false">
      <c r="A45" s="8" t="s">
        <v>163</v>
      </c>
      <c r="B45" s="15" t="n">
        <v>0.04</v>
      </c>
      <c r="C45" s="8" t="s">
        <v>164</v>
      </c>
      <c r="D45" s="4" t="s">
        <v>165</v>
      </c>
    </row>
    <row r="46" customFormat="false" ht="15" hidden="false" customHeight="false" outlineLevel="0" collapsed="false">
      <c r="A46" s="8" t="s">
        <v>166</v>
      </c>
      <c r="B46" s="15" t="n">
        <v>0.13</v>
      </c>
      <c r="C46" s="8" t="s">
        <v>164</v>
      </c>
      <c r="D46" s="4" t="s">
        <v>167</v>
      </c>
    </row>
    <row r="47" customFormat="false" ht="22.35" hidden="false" customHeight="false" outlineLevel="0" collapsed="false">
      <c r="A47" s="8" t="s">
        <v>168</v>
      </c>
      <c r="B47" s="15" t="n">
        <v>0.48</v>
      </c>
      <c r="C47" s="8" t="s">
        <v>164</v>
      </c>
      <c r="D47" s="4" t="s">
        <v>169</v>
      </c>
    </row>
    <row r="48" customFormat="false" ht="15" hidden="false" customHeight="false" outlineLevel="0" collapsed="false">
      <c r="A48" s="8" t="s">
        <v>170</v>
      </c>
      <c r="B48" s="15" t="n">
        <v>0.05</v>
      </c>
      <c r="C48" s="8" t="s">
        <v>164</v>
      </c>
      <c r="D48" s="4"/>
    </row>
    <row r="50" customFormat="false" ht="15" hidden="false" customHeight="false" outlineLevel="0" collapsed="false">
      <c r="A50" s="6" t="s">
        <v>171</v>
      </c>
      <c r="B50" s="7"/>
      <c r="C50" s="7"/>
      <c r="D50" s="7"/>
    </row>
    <row r="51" customFormat="false" ht="22.35" hidden="false" customHeight="false" outlineLevel="0" collapsed="false">
      <c r="A51" s="8" t="s">
        <v>172</v>
      </c>
      <c r="B51" s="13" t="n">
        <v>12</v>
      </c>
      <c r="C51" s="8" t="s">
        <v>173</v>
      </c>
      <c r="D51" s="4" t="s">
        <v>174</v>
      </c>
    </row>
    <row r="52" customFormat="false" ht="22.35" hidden="false" customHeight="false" outlineLevel="0" collapsed="false">
      <c r="A52" s="8" t="s">
        <v>175</v>
      </c>
      <c r="B52" s="13" t="n">
        <v>0</v>
      </c>
      <c r="C52" s="8" t="s">
        <v>173</v>
      </c>
      <c r="D52" s="4" t="s">
        <v>176</v>
      </c>
    </row>
    <row r="53" customFormat="false" ht="22.35" hidden="false" customHeight="false" outlineLevel="0" collapsed="false">
      <c r="A53" s="8" t="s">
        <v>177</v>
      </c>
      <c r="B53" s="13" t="n">
        <v>0</v>
      </c>
      <c r="C53" s="8" t="s">
        <v>173</v>
      </c>
      <c r="D53" s="4" t="s">
        <v>178</v>
      </c>
    </row>
    <row r="54" customFormat="false" ht="15" hidden="false" customHeight="false" outlineLevel="0" collapsed="false">
      <c r="A54" s="8" t="s">
        <v>179</v>
      </c>
      <c r="B54" s="12" t="n">
        <v>0.1</v>
      </c>
      <c r="C54" s="8" t="s">
        <v>99</v>
      </c>
      <c r="D54" s="4" t="s">
        <v>180</v>
      </c>
    </row>
    <row r="55" customFormat="false" ht="15" hidden="false" customHeight="false" outlineLevel="0" collapsed="false">
      <c r="A55" s="8" t="s">
        <v>181</v>
      </c>
      <c r="B55" s="11" t="n">
        <v>2</v>
      </c>
      <c r="C55" s="8" t="s">
        <v>182</v>
      </c>
      <c r="D55" s="4"/>
    </row>
    <row r="57" customFormat="false" ht="15" hidden="false" customHeight="false" outlineLevel="0" collapsed="false">
      <c r="A57" s="6" t="s">
        <v>183</v>
      </c>
      <c r="B57" s="7"/>
      <c r="C57" s="7"/>
      <c r="D57" s="7"/>
    </row>
    <row r="58" customFormat="false" ht="15" hidden="false" customHeight="false" outlineLevel="0" collapsed="false">
      <c r="A58" s="8" t="s">
        <v>184</v>
      </c>
      <c r="B58" s="12" t="n">
        <v>0.07</v>
      </c>
      <c r="C58" s="8" t="s">
        <v>185</v>
      </c>
      <c r="D58" s="4"/>
    </row>
    <row r="59" customFormat="false" ht="15" hidden="false" customHeight="false" outlineLevel="0" collapsed="false">
      <c r="A59" s="8" t="s">
        <v>186</v>
      </c>
      <c r="B59" s="12" t="n">
        <v>0.03</v>
      </c>
      <c r="C59" s="8" t="s">
        <v>185</v>
      </c>
      <c r="D59" s="4" t="s">
        <v>187</v>
      </c>
    </row>
    <row r="60" customFormat="false" ht="15" hidden="false" customHeight="false" outlineLevel="0" collapsed="false">
      <c r="A60" s="8" t="s">
        <v>188</v>
      </c>
      <c r="B60" s="12" t="n">
        <v>0.09</v>
      </c>
      <c r="C60" s="8" t="s">
        <v>189</v>
      </c>
      <c r="D60" s="4" t="s">
        <v>190</v>
      </c>
    </row>
    <row r="61" customFormat="false" ht="15" hidden="false" customHeight="false" outlineLevel="0" collapsed="false">
      <c r="A61" s="8" t="s">
        <v>191</v>
      </c>
      <c r="B61" s="16" t="n">
        <v>0.0065</v>
      </c>
      <c r="C61" s="8" t="s">
        <v>192</v>
      </c>
      <c r="D61" s="4" t="s">
        <v>193</v>
      </c>
    </row>
    <row r="62" customFormat="false" ht="15" hidden="false" customHeight="false" outlineLevel="0" collapsed="false">
      <c r="A62" s="8" t="s">
        <v>194</v>
      </c>
      <c r="B62" s="16" t="n">
        <v>0.03</v>
      </c>
      <c r="C62" s="8" t="s">
        <v>192</v>
      </c>
      <c r="D62" s="4" t="s">
        <v>193</v>
      </c>
    </row>
    <row r="63" customFormat="false" ht="22.35" hidden="false" customHeight="false" outlineLevel="0" collapsed="false">
      <c r="A63" s="8" t="s">
        <v>195</v>
      </c>
      <c r="B63" s="16" t="n">
        <v>0.0135</v>
      </c>
      <c r="C63" s="8" t="s">
        <v>192</v>
      </c>
      <c r="D63" s="4" t="s">
        <v>196</v>
      </c>
    </row>
    <row r="64" customFormat="false" ht="15" hidden="false" customHeight="false" outlineLevel="0" collapsed="false">
      <c r="A64" s="8" t="s">
        <v>197</v>
      </c>
      <c r="B64" s="16" t="n">
        <v>0.0108</v>
      </c>
      <c r="C64" s="8" t="s">
        <v>192</v>
      </c>
      <c r="D64" s="4"/>
    </row>
    <row r="65" customFormat="false" ht="22.35" hidden="false" customHeight="false" outlineLevel="0" collapsed="false">
      <c r="A65" s="8" t="s">
        <v>198</v>
      </c>
      <c r="B65" s="16" t="n">
        <v>0.03</v>
      </c>
      <c r="C65" s="8" t="s">
        <v>199</v>
      </c>
      <c r="D65" s="4" t="s">
        <v>200</v>
      </c>
    </row>
    <row r="66" customFormat="false" ht="32.8" hidden="false" customHeight="false" outlineLevel="0" collapsed="false">
      <c r="A66" s="8" t="s">
        <v>201</v>
      </c>
      <c r="B66" s="16" t="n">
        <v>0.12</v>
      </c>
      <c r="C66" s="8" t="s">
        <v>202</v>
      </c>
      <c r="D66" s="4" t="s">
        <v>203</v>
      </c>
    </row>
    <row r="67" customFormat="false" ht="15" hidden="false" customHeight="false" outlineLevel="0" collapsed="false">
      <c r="A67" s="8" t="s">
        <v>204</v>
      </c>
      <c r="B67" s="12" t="n">
        <v>0.35</v>
      </c>
      <c r="C67" s="8" t="s">
        <v>99</v>
      </c>
      <c r="D67" s="4" t="s">
        <v>205</v>
      </c>
    </row>
    <row r="68" customFormat="false" ht="15" hidden="false" customHeight="false" outlineLevel="0" collapsed="false">
      <c r="A68" s="17" t="s">
        <v>206</v>
      </c>
      <c r="B68" s="18" t="n">
        <f aca="false">Premissas!$B$61+Premissas!$B$62+Premissas!$B$63+Premissas!$B$64+Premissas!$B$65</f>
        <v>0.0908</v>
      </c>
      <c r="C68" s="8" t="s">
        <v>99</v>
      </c>
      <c r="D68" s="4" t="s">
        <v>207</v>
      </c>
    </row>
    <row r="69" customFormat="false" ht="15" hidden="false" customHeight="false" outlineLevel="0" collapsed="false">
      <c r="A69" s="17" t="s">
        <v>208</v>
      </c>
      <c r="B69" s="18" t="n">
        <f aca="false">Premissas!$B$61+Premissas!$B$62+Premissas!$B$63+Premissas!$B$64+Premissas!$B$66</f>
        <v>0.1808</v>
      </c>
      <c r="C69" s="8" t="s">
        <v>99</v>
      </c>
      <c r="D69" s="4" t="s">
        <v>209</v>
      </c>
    </row>
    <row r="70" customFormat="false" ht="15" hidden="false" customHeight="false" outlineLevel="0" collapsed="false">
      <c r="A70" s="17" t="s">
        <v>210</v>
      </c>
      <c r="B70" s="18" t="n">
        <f aca="false">Premissas!$B$68*(1-Premissas!$B$67)+Premissas!$B$69*Premissas!$B$67</f>
        <v>0.1223</v>
      </c>
      <c r="C70" s="8" t="s">
        <v>99</v>
      </c>
      <c r="D70" s="4" t="s">
        <v>211</v>
      </c>
    </row>
    <row r="71" customFormat="false" ht="15" hidden="false" customHeight="false" outlineLevel="0" collapsed="false">
      <c r="A71" s="17" t="s">
        <v>212</v>
      </c>
      <c r="B71" s="18" t="n">
        <f aca="false">Premissas!$B$68</f>
        <v>0.0908</v>
      </c>
      <c r="C71" s="8" t="s">
        <v>99</v>
      </c>
      <c r="D71" s="4" t="s">
        <v>213</v>
      </c>
    </row>
    <row r="72" customFormat="false" ht="22.35" hidden="false" customHeight="false" outlineLevel="0" collapsed="false">
      <c r="A72" s="8" t="s">
        <v>214</v>
      </c>
      <c r="B72" s="11" t="n">
        <v>30</v>
      </c>
      <c r="C72" s="8" t="s">
        <v>94</v>
      </c>
      <c r="D72" s="4" t="s">
        <v>215</v>
      </c>
    </row>
    <row r="73" customFormat="false" ht="15" hidden="false" customHeight="false" outlineLevel="0" collapsed="false">
      <c r="A73" s="8" t="s">
        <v>216</v>
      </c>
      <c r="B73" s="16" t="n">
        <v>0.018</v>
      </c>
      <c r="C73" s="8" t="s">
        <v>217</v>
      </c>
      <c r="D73" s="4" t="s">
        <v>218</v>
      </c>
    </row>
    <row r="74" customFormat="false" ht="15" hidden="false" customHeight="false" outlineLevel="0" collapsed="false">
      <c r="A74" s="17" t="s">
        <v>219</v>
      </c>
      <c r="B74" s="18" t="n">
        <f aca="false">Premissas!$B$73*Premissas!$B$72/30</f>
        <v>0.018</v>
      </c>
      <c r="C74" s="8" t="s">
        <v>192</v>
      </c>
      <c r="D74" s="4" t="s">
        <v>220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0"/>
    <col collapsed="false" customWidth="true" hidden="false" outlineLevel="0" max="3" min="3" style="0" width="14"/>
    <col collapsed="false" customWidth="true" hidden="false" outlineLevel="0" max="4" min="4" style="0" width="13"/>
    <col collapsed="false" customWidth="true" hidden="false" outlineLevel="0" max="5" min="5" style="0" width="9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9" min="8" style="0" width="11"/>
    <col collapsed="false" customWidth="true" hidden="false" outlineLevel="0" max="11" min="10" style="0" width="13"/>
    <col collapsed="false" customWidth="true" hidden="false" outlineLevel="0" max="12" min="12" style="0" width="12"/>
    <col collapsed="false" customWidth="true" hidden="false" outlineLevel="0" max="13" min="13" style="0" width="16"/>
  </cols>
  <sheetData>
    <row r="1" customFormat="false" ht="21.75" hidden="false" customHeight="true" outlineLevel="0" collapsed="false">
      <c r="A1" s="1" t="s">
        <v>221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5" hidden="false" customHeight="false" outlineLevel="0" collapsed="false">
      <c r="A2" s="19" t="s">
        <v>222</v>
      </c>
    </row>
    <row r="4" customFormat="false" ht="39.75" hidden="false" customHeight="true" outlineLevel="0" collapsed="false">
      <c r="A4" s="2" t="s">
        <v>75</v>
      </c>
      <c r="B4" s="2" t="s">
        <v>223</v>
      </c>
      <c r="C4" s="2" t="s">
        <v>224</v>
      </c>
      <c r="D4" s="2" t="s">
        <v>225</v>
      </c>
      <c r="E4" s="2" t="s">
        <v>226</v>
      </c>
      <c r="F4" s="2" t="s">
        <v>227</v>
      </c>
      <c r="G4" s="2" t="s">
        <v>228</v>
      </c>
      <c r="H4" s="2" t="s">
        <v>29</v>
      </c>
      <c r="I4" s="2" t="s">
        <v>229</v>
      </c>
      <c r="J4" s="2" t="s">
        <v>230</v>
      </c>
      <c r="K4" s="2" t="s">
        <v>231</v>
      </c>
      <c r="L4" s="2" t="s">
        <v>232</v>
      </c>
      <c r="M4" s="2" t="s">
        <v>233</v>
      </c>
    </row>
    <row r="5" customFormat="false" ht="30" hidden="false" customHeight="true" outlineLevel="0" collapsed="false">
      <c r="A5" s="9" t="n">
        <v>1</v>
      </c>
      <c r="B5" s="20" t="s">
        <v>234</v>
      </c>
      <c r="C5" s="11" t="n">
        <v>7800</v>
      </c>
      <c r="D5" s="21" t="n">
        <f aca="false">C5*12</f>
        <v>93600</v>
      </c>
      <c r="E5" s="21" t="n">
        <f aca="false">Premissas!$B$13</f>
        <v>26</v>
      </c>
      <c r="F5" s="22" t="n">
        <f aca="false">IF(E5=0,0,C5/E5)</f>
        <v>300</v>
      </c>
      <c r="G5" s="9" t="n">
        <v>1</v>
      </c>
      <c r="H5" s="22" t="n">
        <f aca="false">G5*Premissas!$B$21</f>
        <v>1.8</v>
      </c>
      <c r="I5" s="9" t="n">
        <v>6</v>
      </c>
      <c r="J5" s="22" t="n">
        <f aca="false">I5*E5*Premissas!$B$54*Premissas!$B$55</f>
        <v>31.2</v>
      </c>
      <c r="K5" s="23" t="n">
        <f aca="false">J5*Premissas!$B$51</f>
        <v>374.4</v>
      </c>
      <c r="L5" s="13" t="n">
        <v>11.11</v>
      </c>
      <c r="M5" s="23" t="n">
        <f aca="false">D5*L5</f>
        <v>1039896</v>
      </c>
    </row>
    <row r="6" customFormat="false" ht="30" hidden="false" customHeight="true" outlineLevel="0" collapsed="false">
      <c r="A6" s="9" t="n">
        <v>1</v>
      </c>
      <c r="B6" s="20" t="s">
        <v>235</v>
      </c>
      <c r="C6" s="11" t="n">
        <v>7800</v>
      </c>
      <c r="D6" s="21" t="n">
        <f aca="false">C6*12</f>
        <v>93600</v>
      </c>
      <c r="E6" s="21" t="n">
        <f aca="false">Premissas!$B$13</f>
        <v>26</v>
      </c>
      <c r="F6" s="22" t="n">
        <f aca="false">IF(E6=0,0,C6/E6)</f>
        <v>300</v>
      </c>
      <c r="G6" s="9" t="n">
        <v>1</v>
      </c>
      <c r="H6" s="22" t="n">
        <f aca="false">G6*Premissas!$B$21</f>
        <v>1.8</v>
      </c>
      <c r="I6" s="9" t="n">
        <v>6</v>
      </c>
      <c r="J6" s="22" t="n">
        <f aca="false">I6*E6*Premissas!$B$54*Premissas!$B$55</f>
        <v>31.2</v>
      </c>
      <c r="K6" s="23" t="n">
        <f aca="false">J6*Premissas!$B$51</f>
        <v>374.4</v>
      </c>
      <c r="L6" s="13" t="n">
        <v>11.11</v>
      </c>
      <c r="M6" s="23" t="n">
        <f aca="false">D6*L6</f>
        <v>1039896</v>
      </c>
    </row>
    <row r="7" customFormat="false" ht="30" hidden="false" customHeight="true" outlineLevel="0" collapsed="false">
      <c r="A7" s="9" t="n">
        <v>1</v>
      </c>
      <c r="B7" s="20" t="s">
        <v>236</v>
      </c>
      <c r="C7" s="11" t="n">
        <v>7800</v>
      </c>
      <c r="D7" s="21" t="n">
        <f aca="false">C7*12</f>
        <v>93600</v>
      </c>
      <c r="E7" s="21" t="n">
        <f aca="false">Premissas!$B$13</f>
        <v>26</v>
      </c>
      <c r="F7" s="22" t="n">
        <f aca="false">IF(E7=0,0,C7/E7)</f>
        <v>300</v>
      </c>
      <c r="G7" s="9" t="n">
        <v>1</v>
      </c>
      <c r="H7" s="22" t="n">
        <f aca="false">G7*Premissas!$B$21</f>
        <v>1.8</v>
      </c>
      <c r="I7" s="9" t="n">
        <v>6</v>
      </c>
      <c r="J7" s="22" t="n">
        <f aca="false">I7*E7*Premissas!$B$54*Premissas!$B$55</f>
        <v>31.2</v>
      </c>
      <c r="K7" s="23" t="n">
        <f aca="false">J7*Premissas!$B$51</f>
        <v>374.4</v>
      </c>
      <c r="L7" s="13" t="n">
        <v>11.11</v>
      </c>
      <c r="M7" s="23" t="n">
        <f aca="false">D7*L7</f>
        <v>1039896</v>
      </c>
    </row>
    <row r="8" customFormat="false" ht="30" hidden="false" customHeight="true" outlineLevel="0" collapsed="false">
      <c r="A8" s="9" t="n">
        <v>1</v>
      </c>
      <c r="B8" s="20" t="s">
        <v>237</v>
      </c>
      <c r="C8" s="11" t="n">
        <v>7800</v>
      </c>
      <c r="D8" s="21" t="n">
        <f aca="false">C8*12</f>
        <v>93600</v>
      </c>
      <c r="E8" s="21" t="n">
        <f aca="false">Premissas!$B$13</f>
        <v>26</v>
      </c>
      <c r="F8" s="22" t="n">
        <f aca="false">IF(E8=0,0,C8/E8)</f>
        <v>300</v>
      </c>
      <c r="G8" s="9" t="n">
        <v>1</v>
      </c>
      <c r="H8" s="22" t="n">
        <f aca="false">G8*Premissas!$B$21</f>
        <v>1.8</v>
      </c>
      <c r="I8" s="9" t="n">
        <v>6</v>
      </c>
      <c r="J8" s="22" t="n">
        <f aca="false">I8*E8*Premissas!$B$54*Premissas!$B$55</f>
        <v>31.2</v>
      </c>
      <c r="K8" s="23" t="n">
        <f aca="false">J8*Premissas!$B$51</f>
        <v>374.4</v>
      </c>
      <c r="L8" s="13" t="n">
        <v>11.11</v>
      </c>
      <c r="M8" s="23" t="n">
        <f aca="false">D8*L8</f>
        <v>1039896</v>
      </c>
    </row>
    <row r="9" customFormat="false" ht="30" hidden="false" customHeight="true" outlineLevel="0" collapsed="false">
      <c r="A9" s="9" t="n">
        <v>2</v>
      </c>
      <c r="B9" s="20" t="s">
        <v>238</v>
      </c>
      <c r="C9" s="11" t="n">
        <v>1800</v>
      </c>
      <c r="D9" s="21" t="n">
        <f aca="false">C9*12</f>
        <v>21600</v>
      </c>
      <c r="E9" s="21" t="n">
        <f aca="false">Premissas!$B$14</f>
        <v>22</v>
      </c>
      <c r="F9" s="22" t="n">
        <f aca="false">IF(E9=0,0,C9/E9)</f>
        <v>81.8181818181818</v>
      </c>
      <c r="G9" s="9" t="n">
        <v>1</v>
      </c>
      <c r="H9" s="22" t="n">
        <f aca="false">G9*Premissas!$B$22</f>
        <v>1</v>
      </c>
      <c r="I9" s="9" t="n">
        <v>1</v>
      </c>
      <c r="J9" s="22" t="n">
        <f aca="false">E9*2</f>
        <v>44</v>
      </c>
      <c r="K9" s="23" t="n">
        <f aca="false">J9*Premissas!$B$53</f>
        <v>0</v>
      </c>
      <c r="L9" s="13" t="n">
        <v>11.11</v>
      </c>
      <c r="M9" s="23" t="n">
        <f aca="false">D9*L9</f>
        <v>239976</v>
      </c>
    </row>
    <row r="10" customFormat="false" ht="30" hidden="false" customHeight="true" outlineLevel="0" collapsed="false">
      <c r="A10" s="9" t="n">
        <v>2</v>
      </c>
      <c r="B10" s="20" t="s">
        <v>239</v>
      </c>
      <c r="C10" s="11" t="n">
        <v>2000</v>
      </c>
      <c r="D10" s="21" t="n">
        <f aca="false">C10*12</f>
        <v>24000</v>
      </c>
      <c r="E10" s="21" t="n">
        <f aca="false">Premissas!$B$14</f>
        <v>22</v>
      </c>
      <c r="F10" s="22" t="n">
        <f aca="false">IF(E10=0,0,C10/E10)</f>
        <v>90.9090909090909</v>
      </c>
      <c r="G10" s="9" t="n">
        <v>1</v>
      </c>
      <c r="H10" s="22" t="n">
        <f aca="false">G10*Premissas!$B$22</f>
        <v>1</v>
      </c>
      <c r="I10" s="9" t="n">
        <v>1</v>
      </c>
      <c r="J10" s="22" t="n">
        <f aca="false">E10*2</f>
        <v>44</v>
      </c>
      <c r="K10" s="23" t="n">
        <f aca="false">J10*Premissas!$B$53</f>
        <v>0</v>
      </c>
      <c r="L10" s="13" t="n">
        <v>11.11</v>
      </c>
      <c r="M10" s="23" t="n">
        <f aca="false">D10*L10</f>
        <v>266640</v>
      </c>
    </row>
    <row r="11" customFormat="false" ht="30" hidden="false" customHeight="true" outlineLevel="0" collapsed="false">
      <c r="A11" s="9" t="n">
        <v>2</v>
      </c>
      <c r="B11" s="20" t="s">
        <v>240</v>
      </c>
      <c r="C11" s="11" t="n">
        <v>1800</v>
      </c>
      <c r="D11" s="21" t="n">
        <f aca="false">C11*12</f>
        <v>21600</v>
      </c>
      <c r="E11" s="21" t="n">
        <f aca="false">Premissas!$B$14</f>
        <v>22</v>
      </c>
      <c r="F11" s="22" t="n">
        <f aca="false">IF(E11=0,0,C11/E11)</f>
        <v>81.8181818181818</v>
      </c>
      <c r="G11" s="9" t="n">
        <v>1</v>
      </c>
      <c r="H11" s="22" t="n">
        <f aca="false">G11*Premissas!$B$22</f>
        <v>1</v>
      </c>
      <c r="I11" s="9" t="n">
        <v>1</v>
      </c>
      <c r="J11" s="22" t="n">
        <f aca="false">E11*2</f>
        <v>44</v>
      </c>
      <c r="K11" s="23" t="n">
        <f aca="false">J11*Premissas!$B$53</f>
        <v>0</v>
      </c>
      <c r="L11" s="13" t="n">
        <v>11.11</v>
      </c>
      <c r="M11" s="23" t="n">
        <f aca="false">D11*L11</f>
        <v>239976</v>
      </c>
    </row>
    <row r="12" customFormat="false" ht="15" hidden="false" customHeight="false" outlineLevel="0" collapsed="false">
      <c r="A12" s="24"/>
      <c r="B12" s="24" t="s">
        <v>241</v>
      </c>
      <c r="C12" s="25" t="n">
        <f aca="false">SUMIF($A$5:$A$11,1,C5:C11)</f>
        <v>31200</v>
      </c>
      <c r="D12" s="25" t="n">
        <f aca="false">SUMIF($A$5:$A$11,1,D5:D11)</f>
        <v>374400</v>
      </c>
      <c r="E12" s="24"/>
      <c r="F12" s="24"/>
      <c r="G12" s="25" t="n">
        <f aca="false">SUMIF($A$5:$A$11,1,G5:G11)</f>
        <v>4</v>
      </c>
      <c r="H12" s="26" t="n">
        <f aca="false">SUMIF($A$5:$A$11,1,H5:H11)</f>
        <v>7.2</v>
      </c>
      <c r="I12" s="24"/>
      <c r="J12" s="26" t="n">
        <f aca="false">SUMIF($A$5:$A$11,1,J5:J11)</f>
        <v>124.8</v>
      </c>
      <c r="K12" s="27" t="n">
        <f aca="false">SUMIF($A$5:$A$11,1,K5:K11)</f>
        <v>1497.6</v>
      </c>
      <c r="L12" s="24"/>
      <c r="M12" s="27" t="n">
        <f aca="false">SUMIF($A$5:$A$11,1,M5:M11)</f>
        <v>4159584</v>
      </c>
    </row>
    <row r="13" customFormat="false" ht="15" hidden="false" customHeight="false" outlineLevel="0" collapsed="false">
      <c r="A13" s="24"/>
      <c r="B13" s="24" t="s">
        <v>242</v>
      </c>
      <c r="C13" s="25" t="n">
        <f aca="false">SUMIF($A$5:$A$11,2,C5:C11)</f>
        <v>5600</v>
      </c>
      <c r="D13" s="25" t="n">
        <f aca="false">SUMIF($A$5:$A$11,2,D5:D11)</f>
        <v>67200</v>
      </c>
      <c r="E13" s="24"/>
      <c r="F13" s="24"/>
      <c r="G13" s="25" t="n">
        <f aca="false">SUMIF($A$5:$A$11,2,G5:G11)</f>
        <v>3</v>
      </c>
      <c r="H13" s="26" t="n">
        <f aca="false">SUMIF($A$5:$A$11,2,H5:H11)</f>
        <v>3</v>
      </c>
      <c r="I13" s="24"/>
      <c r="J13" s="26" t="n">
        <f aca="false">SUMIF($A$5:$A$11,2,J5:J11)</f>
        <v>132</v>
      </c>
      <c r="K13" s="27" t="n">
        <f aca="false">SUMIF($A$5:$A$11,2,K5:K11)</f>
        <v>0</v>
      </c>
      <c r="L13" s="24"/>
      <c r="M13" s="27" t="n">
        <f aca="false">SUMIF($A$5:$A$11,2,M5:M11)</f>
        <v>746592</v>
      </c>
    </row>
    <row r="14" customFormat="false" ht="15" hidden="false" customHeight="false" outlineLevel="0" collapsed="false">
      <c r="A14" s="24"/>
      <c r="B14" s="24" t="s">
        <v>243</v>
      </c>
      <c r="C14" s="25" t="n">
        <f aca="false">C12+C13</f>
        <v>36800</v>
      </c>
      <c r="D14" s="25" t="n">
        <f aca="false">D12+D13</f>
        <v>441600</v>
      </c>
      <c r="E14" s="24"/>
      <c r="F14" s="24"/>
      <c r="G14" s="25" t="n">
        <f aca="false">G12+G13</f>
        <v>7</v>
      </c>
      <c r="H14" s="26" t="n">
        <f aca="false">H12+H13</f>
        <v>10.2</v>
      </c>
      <c r="I14" s="24"/>
      <c r="J14" s="26" t="n">
        <f aca="false">J12+J13</f>
        <v>256.8</v>
      </c>
      <c r="K14" s="27" t="n">
        <f aca="false">K12+K13</f>
        <v>1497.6</v>
      </c>
      <c r="L14" s="24"/>
      <c r="M14" s="27" t="n">
        <f aca="false">M12+M13</f>
        <v>4906176</v>
      </c>
    </row>
    <row r="16" customFormat="false" ht="15" hidden="false" customHeight="false" outlineLevel="0" collapsed="false">
      <c r="A16" s="28" t="s">
        <v>244</v>
      </c>
      <c r="G16" s="28" t="n">
        <f aca="false">ROUNDUP(G14*(1+Premissas!$B$17),0)</f>
        <v>9</v>
      </c>
    </row>
    <row r="17" customFormat="false" ht="30" hidden="false" customHeight="true" outlineLevel="0" collapsed="false">
      <c r="A17" s="5" t="s">
        <v>245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</row>
  </sheetData>
  <mergeCells count="2">
    <mergeCell ref="A1:M1"/>
    <mergeCell ref="A17:M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4" min="2" style="0" width="20"/>
    <col collapsed="false" customWidth="true" hidden="false" outlineLevel="0" max="5" min="5" style="0" width="60"/>
  </cols>
  <sheetData>
    <row r="1" customFormat="false" ht="21.75" hidden="false" customHeight="true" outlineLevel="0" collapsed="false">
      <c r="A1" s="1" t="s">
        <v>246</v>
      </c>
      <c r="B1" s="1"/>
      <c r="C1" s="1"/>
      <c r="D1" s="1"/>
      <c r="E1" s="1"/>
    </row>
    <row r="2" customFormat="false" ht="15" hidden="false" customHeight="false" outlineLevel="0" collapsed="false">
      <c r="A2" s="19" t="s">
        <v>247</v>
      </c>
    </row>
    <row r="4" customFormat="false" ht="30" hidden="false" customHeight="true" outlineLevel="0" collapsed="false">
      <c r="A4" s="2" t="s">
        <v>248</v>
      </c>
      <c r="B4" s="2" t="s">
        <v>249</v>
      </c>
      <c r="C4" s="2" t="s">
        <v>250</v>
      </c>
      <c r="D4" s="2" t="s">
        <v>251</v>
      </c>
      <c r="E4" s="2" t="s">
        <v>252</v>
      </c>
    </row>
    <row r="5" customFormat="false" ht="15" hidden="false" customHeight="false" outlineLevel="0" collapsed="false">
      <c r="A5" s="6" t="s">
        <v>253</v>
      </c>
      <c r="B5" s="7"/>
      <c r="C5" s="7"/>
      <c r="D5" s="7"/>
      <c r="E5" s="7"/>
    </row>
    <row r="6" customFormat="false" ht="15" hidden="false" customHeight="false" outlineLevel="0" collapsed="false">
      <c r="A6" s="8" t="s">
        <v>254</v>
      </c>
      <c r="B6" s="21" t="n">
        <f aca="false">Rotas!C12*Premissas!$B$15</f>
        <v>26520</v>
      </c>
      <c r="C6" s="21" t="n">
        <f aca="false">Rotas!C13*Premissas!$B$15</f>
        <v>4760</v>
      </c>
      <c r="D6" s="21" t="n">
        <f aca="false">B6+C6</f>
        <v>31280</v>
      </c>
      <c r="E6" s="4" t="s">
        <v>255</v>
      </c>
    </row>
    <row r="7" customFormat="false" ht="15" hidden="false" customHeight="false" outlineLevel="0" collapsed="false">
      <c r="A7" s="8" t="s">
        <v>256</v>
      </c>
      <c r="B7" s="21" t="n">
        <f aca="false">B6*(1+Premissas!$B$16)</f>
        <v>30498</v>
      </c>
      <c r="C7" s="21" t="n">
        <f aca="false">C6*(1+Premissas!$B$16)</f>
        <v>5474</v>
      </c>
      <c r="D7" s="21" t="n">
        <f aca="false">B7+C7</f>
        <v>35972</v>
      </c>
      <c r="E7" s="4" t="s">
        <v>257</v>
      </c>
    </row>
    <row r="8" customFormat="false" ht="15" hidden="false" customHeight="false" outlineLevel="0" collapsed="false">
      <c r="A8" s="8" t="s">
        <v>258</v>
      </c>
      <c r="B8" s="22" t="n">
        <f aca="false">Rotas!G12</f>
        <v>4</v>
      </c>
      <c r="C8" s="22" t="n">
        <f aca="false">Rotas!G13</f>
        <v>3</v>
      </c>
      <c r="D8" s="22" t="n">
        <f aca="false">B8+C8</f>
        <v>7</v>
      </c>
      <c r="E8" s="4" t="s">
        <v>259</v>
      </c>
    </row>
    <row r="9" customFormat="false" ht="15" hidden="false" customHeight="false" outlineLevel="0" collapsed="false">
      <c r="A9" s="8" t="s">
        <v>29</v>
      </c>
      <c r="B9" s="22" t="n">
        <f aca="false">Rotas!H12</f>
        <v>7.2</v>
      </c>
      <c r="C9" s="22" t="n">
        <f aca="false">Rotas!H13</f>
        <v>3</v>
      </c>
      <c r="D9" s="22" t="n">
        <f aca="false">B9+C9</f>
        <v>10.2</v>
      </c>
      <c r="E9" s="4" t="s">
        <v>260</v>
      </c>
    </row>
    <row r="10" customFormat="false" ht="15" hidden="false" customHeight="false" outlineLevel="0" collapsed="false">
      <c r="A10" s="6" t="s">
        <v>261</v>
      </c>
      <c r="B10" s="7"/>
      <c r="C10" s="7"/>
      <c r="D10" s="7"/>
      <c r="E10" s="7"/>
    </row>
    <row r="11" customFormat="false" ht="15" hidden="false" customHeight="false" outlineLevel="0" collapsed="false">
      <c r="A11" s="8" t="s">
        <v>262</v>
      </c>
      <c r="B11" s="23" t="n">
        <f aca="false">B9*Premissas!$B$20*(1+Premissas!$B$23)</f>
        <v>23788.8</v>
      </c>
      <c r="C11" s="23" t="n">
        <f aca="false">C9*Premissas!$B$20*(1+Premissas!$B$23)</f>
        <v>9912</v>
      </c>
      <c r="D11" s="23" t="n">
        <f aca="false">B11+C11</f>
        <v>33700.8</v>
      </c>
      <c r="E11" s="4" t="s">
        <v>263</v>
      </c>
    </row>
    <row r="12" customFormat="false" ht="15" hidden="false" customHeight="false" outlineLevel="0" collapsed="false">
      <c r="A12" s="8" t="s">
        <v>264</v>
      </c>
      <c r="B12" s="23" t="n">
        <f aca="false">B11*Premissas!$B$24</f>
        <v>16652.16</v>
      </c>
      <c r="C12" s="23" t="n">
        <f aca="false">C11*Premissas!$B$24</f>
        <v>6938.4</v>
      </c>
      <c r="D12" s="23" t="n">
        <f aca="false">B12+C12</f>
        <v>23590.56</v>
      </c>
      <c r="E12" s="4" t="s">
        <v>265</v>
      </c>
    </row>
    <row r="13" customFormat="false" ht="15" hidden="false" customHeight="false" outlineLevel="0" collapsed="false">
      <c r="A13" s="8" t="s">
        <v>266</v>
      </c>
      <c r="B13" s="23" t="n">
        <f aca="false">B9*(Premissas!$B$25+Premissas!$B$26)</f>
        <v>7488</v>
      </c>
      <c r="C13" s="23" t="n">
        <f aca="false">C9*(Premissas!$B$25+Premissas!$B$26)</f>
        <v>3120</v>
      </c>
      <c r="D13" s="23" t="n">
        <f aca="false">B13+C13</f>
        <v>10608</v>
      </c>
      <c r="E13" s="4" t="s">
        <v>267</v>
      </c>
    </row>
    <row r="14" customFormat="false" ht="15" hidden="false" customHeight="false" outlineLevel="0" collapsed="false">
      <c r="A14" s="8" t="s">
        <v>268</v>
      </c>
      <c r="B14" s="23" t="n">
        <f aca="false">Premissas!$B$27*B6/(B6+C6)</f>
        <v>6358.69565217391</v>
      </c>
      <c r="C14" s="23" t="n">
        <f aca="false">Premissas!$B$27*C6/(B6+C6)</f>
        <v>1141.30434782609</v>
      </c>
      <c r="D14" s="23" t="n">
        <f aca="false">B14+C14</f>
        <v>7500</v>
      </c>
      <c r="E14" s="4" t="s">
        <v>269</v>
      </c>
    </row>
    <row r="15" customFormat="false" ht="15" hidden="false" customHeight="false" outlineLevel="0" collapsed="false">
      <c r="A15" s="17" t="s">
        <v>270</v>
      </c>
      <c r="B15" s="29" t="n">
        <f aca="false">SUM(B11:B14)</f>
        <v>54287.6556521739</v>
      </c>
      <c r="C15" s="29" t="n">
        <f aca="false">SUM(C11:C14)</f>
        <v>21111.7043478261</v>
      </c>
      <c r="D15" s="29" t="n">
        <f aca="false">B15+C15</f>
        <v>75399.36</v>
      </c>
      <c r="E15" s="4"/>
    </row>
    <row r="16" customFormat="false" ht="15" hidden="false" customHeight="false" outlineLevel="0" collapsed="false">
      <c r="A16" s="6" t="s">
        <v>271</v>
      </c>
      <c r="B16" s="7"/>
      <c r="C16" s="7"/>
      <c r="D16" s="7"/>
      <c r="E16" s="7"/>
    </row>
    <row r="17" customFormat="false" ht="15" hidden="false" customHeight="false" outlineLevel="0" collapsed="false">
      <c r="A17" s="8" t="s">
        <v>272</v>
      </c>
      <c r="B17" s="23" t="n">
        <f aca="false">B8*(1+Premissas!$B$17)*Premissas!$B$30*(Premissas!$B$31+Premissas!$B$32)/12</f>
        <v>33350</v>
      </c>
      <c r="C17" s="23" t="n">
        <f aca="false">C8*(1+Premissas!$B$17)*Premissas!$B$30*(Premissas!$B$31+Premissas!$B$32)/12</f>
        <v>25012.5</v>
      </c>
      <c r="D17" s="23" t="n">
        <f aca="false">B17+C17</f>
        <v>58362.5</v>
      </c>
      <c r="E17" s="4" t="s">
        <v>273</v>
      </c>
    </row>
    <row r="18" customFormat="false" ht="15" hidden="false" customHeight="false" outlineLevel="0" collapsed="false">
      <c r="A18" s="8" t="s">
        <v>274</v>
      </c>
      <c r="B18" s="23" t="n">
        <f aca="false">B8*(1+Premissas!$B$17)*Premissas!$B$33</f>
        <v>3450</v>
      </c>
      <c r="C18" s="23" t="n">
        <f aca="false">C8*(1+Premissas!$B$17)*Premissas!$B$33</f>
        <v>2587.5</v>
      </c>
      <c r="D18" s="23" t="n">
        <f aca="false">B18+C18</f>
        <v>6037.5</v>
      </c>
      <c r="E18" s="4"/>
    </row>
    <row r="19" customFormat="false" ht="15" hidden="false" customHeight="false" outlineLevel="0" collapsed="false">
      <c r="A19" s="8" t="s">
        <v>275</v>
      </c>
      <c r="B19" s="23" t="n">
        <f aca="false">B8*(1+Premissas!$B$17)*(Premissas!$B$34+Premissas!$B$39)/12</f>
        <v>1686.66666666667</v>
      </c>
      <c r="C19" s="23" t="n">
        <f aca="false">C8*(1+Premissas!$B$17)*(Premissas!$B$34+Premissas!$B$39)/12</f>
        <v>1265</v>
      </c>
      <c r="D19" s="23" t="n">
        <f aca="false">B19+C19</f>
        <v>2951.66666666667</v>
      </c>
      <c r="E19" s="4"/>
    </row>
    <row r="20" customFormat="false" ht="15" hidden="false" customHeight="false" outlineLevel="0" collapsed="false">
      <c r="A20" s="8" t="s">
        <v>276</v>
      </c>
      <c r="B20" s="23" t="n">
        <f aca="false">B8*(1+Premissas!$B$17)*(Premissas!$B$35+Premissas!$B$36)</f>
        <v>1610</v>
      </c>
      <c r="C20" s="23" t="n">
        <f aca="false">C8*(1+Premissas!$B$17)*(Premissas!$B$35+Premissas!$B$36)</f>
        <v>1207.5</v>
      </c>
      <c r="D20" s="23" t="n">
        <f aca="false">B20+C20</f>
        <v>2817.5</v>
      </c>
      <c r="E20" s="4" t="s">
        <v>277</v>
      </c>
    </row>
    <row r="21" customFormat="false" ht="15" hidden="false" customHeight="false" outlineLevel="0" collapsed="false">
      <c r="A21" s="8" t="s">
        <v>278</v>
      </c>
      <c r="B21" s="23" t="n">
        <f aca="false">B8*(Premissas!$B$37+Premissas!$B$38)</f>
        <v>1460</v>
      </c>
      <c r="C21" s="23" t="n">
        <f aca="false">C8*(Premissas!$B$37+Premissas!$B$38)</f>
        <v>1095</v>
      </c>
      <c r="D21" s="23" t="n">
        <f aca="false">B21+C21</f>
        <v>2555</v>
      </c>
      <c r="E21" s="4"/>
    </row>
    <row r="22" customFormat="false" ht="15" hidden="false" customHeight="false" outlineLevel="0" collapsed="false">
      <c r="A22" s="8" t="s">
        <v>279</v>
      </c>
      <c r="B22" s="23" t="n">
        <f aca="false">B8*(1+Premissas!$B$17)*Premissas!$B$40</f>
        <v>3220</v>
      </c>
      <c r="C22" s="23" t="n">
        <f aca="false">C8*(1+Premissas!$B$17)*Premissas!$B$40</f>
        <v>2415</v>
      </c>
      <c r="D22" s="23" t="n">
        <f aca="false">B22+C22</f>
        <v>5635</v>
      </c>
      <c r="E22" s="4"/>
    </row>
    <row r="23" customFormat="false" ht="15" hidden="false" customHeight="false" outlineLevel="0" collapsed="false">
      <c r="A23" s="17" t="s">
        <v>280</v>
      </c>
      <c r="B23" s="29" t="n">
        <f aca="false">SUM(B17:B22)</f>
        <v>44776.6666666667</v>
      </c>
      <c r="C23" s="29" t="n">
        <f aca="false">SUM(C17:C22)</f>
        <v>33582.5</v>
      </c>
      <c r="D23" s="29" t="n">
        <f aca="false">B23+C23</f>
        <v>78359.1666666667</v>
      </c>
      <c r="E23" s="4"/>
    </row>
    <row r="24" customFormat="false" ht="15" hidden="false" customHeight="false" outlineLevel="0" collapsed="false">
      <c r="A24" s="6" t="s">
        <v>281</v>
      </c>
      <c r="B24" s="7"/>
      <c r="C24" s="7"/>
      <c r="D24" s="7"/>
      <c r="E24" s="7"/>
    </row>
    <row r="25" customFormat="false" ht="15" hidden="false" customHeight="false" outlineLevel="0" collapsed="false">
      <c r="A25" s="8" t="s">
        <v>282</v>
      </c>
      <c r="B25" s="23" t="n">
        <f aca="false">B7/Premissas!$B$44*Premissas!$B$43</f>
        <v>21707.4</v>
      </c>
      <c r="C25" s="23" t="n">
        <f aca="false">C7/Premissas!$B$44*Premissas!$B$43</f>
        <v>3896.2</v>
      </c>
      <c r="D25" s="23" t="n">
        <f aca="false">B25+C25</f>
        <v>25603.6</v>
      </c>
      <c r="E25" s="4" t="s">
        <v>283</v>
      </c>
    </row>
    <row r="26" customFormat="false" ht="15" hidden="false" customHeight="false" outlineLevel="0" collapsed="false">
      <c r="A26" s="8" t="s">
        <v>284</v>
      </c>
      <c r="B26" s="23" t="n">
        <f aca="false">B7*Premissas!$B$45</f>
        <v>1219.92</v>
      </c>
      <c r="C26" s="23" t="n">
        <f aca="false">C7*Premissas!$B$45</f>
        <v>218.96</v>
      </c>
      <c r="D26" s="23" t="n">
        <f aca="false">B26+C26</f>
        <v>1438.88</v>
      </c>
      <c r="E26" s="4"/>
    </row>
    <row r="27" customFormat="false" ht="15" hidden="false" customHeight="false" outlineLevel="0" collapsed="false">
      <c r="A27" s="8" t="s">
        <v>285</v>
      </c>
      <c r="B27" s="23" t="n">
        <f aca="false">B7*Premissas!$B$46</f>
        <v>3964.74</v>
      </c>
      <c r="C27" s="23" t="n">
        <f aca="false">C7*Premissas!$B$46</f>
        <v>711.62</v>
      </c>
      <c r="D27" s="23" t="n">
        <f aca="false">B27+C27</f>
        <v>4676.36</v>
      </c>
      <c r="E27" s="4"/>
    </row>
    <row r="28" customFormat="false" ht="15" hidden="false" customHeight="false" outlineLevel="0" collapsed="false">
      <c r="A28" s="8" t="s">
        <v>286</v>
      </c>
      <c r="B28" s="23" t="n">
        <f aca="false">B7*Premissas!$B$47</f>
        <v>14639.04</v>
      </c>
      <c r="C28" s="23" t="n">
        <f aca="false">C7*Premissas!$B$47</f>
        <v>2627.52</v>
      </c>
      <c r="D28" s="23" t="n">
        <f aca="false">B28+C28</f>
        <v>17266.56</v>
      </c>
      <c r="E28" s="4"/>
    </row>
    <row r="29" customFormat="false" ht="15" hidden="false" customHeight="false" outlineLevel="0" collapsed="false">
      <c r="A29" s="8" t="s">
        <v>287</v>
      </c>
      <c r="B29" s="23" t="n">
        <f aca="false">B7*Premissas!$B$48</f>
        <v>1524.9</v>
      </c>
      <c r="C29" s="23" t="n">
        <f aca="false">C7*Premissas!$B$48</f>
        <v>273.7</v>
      </c>
      <c r="D29" s="23" t="n">
        <f aca="false">B29+C29</f>
        <v>1798.6</v>
      </c>
      <c r="E29" s="4"/>
    </row>
    <row r="30" customFormat="false" ht="15" hidden="false" customHeight="false" outlineLevel="0" collapsed="false">
      <c r="A30" s="8" t="s">
        <v>49</v>
      </c>
      <c r="B30" s="23" t="n">
        <f aca="false">Rotas!K12</f>
        <v>1497.6</v>
      </c>
      <c r="C30" s="23" t="n">
        <f aca="false">Rotas!K13</f>
        <v>0</v>
      </c>
      <c r="D30" s="23" t="n">
        <f aca="false">B30+C30</f>
        <v>1497.6</v>
      </c>
      <c r="E30" s="4" t="s">
        <v>288</v>
      </c>
    </row>
    <row r="31" customFormat="false" ht="15" hidden="false" customHeight="false" outlineLevel="0" collapsed="false">
      <c r="A31" s="17" t="s">
        <v>289</v>
      </c>
      <c r="B31" s="29" t="n">
        <f aca="false">SUM(B25:B30)</f>
        <v>44553.6</v>
      </c>
      <c r="C31" s="29" t="n">
        <f aca="false">SUM(C25:C30)</f>
        <v>7728</v>
      </c>
      <c r="D31" s="29" t="n">
        <f aca="false">B31+C31</f>
        <v>52281.6</v>
      </c>
      <c r="E31" s="4"/>
    </row>
    <row r="32" customFormat="false" ht="15" hidden="false" customHeight="false" outlineLevel="0" collapsed="false">
      <c r="A32" s="6" t="s">
        <v>290</v>
      </c>
      <c r="B32" s="7"/>
      <c r="C32" s="7"/>
      <c r="D32" s="7"/>
      <c r="E32" s="7"/>
    </row>
    <row r="33" customFormat="false" ht="15" hidden="false" customHeight="false" outlineLevel="0" collapsed="false">
      <c r="A33" s="8" t="s">
        <v>291</v>
      </c>
      <c r="B33" s="23" t="n">
        <f aca="false">B15+B23+B31</f>
        <v>143617.922318841</v>
      </c>
      <c r="C33" s="23" t="n">
        <f aca="false">C15+C23+C31</f>
        <v>62422.2043478261</v>
      </c>
      <c r="D33" s="23" t="n">
        <f aca="false">B33+C33</f>
        <v>206040.126666667</v>
      </c>
      <c r="E33" s="4" t="s">
        <v>292</v>
      </c>
    </row>
    <row r="34" customFormat="false" ht="15" hidden="false" customHeight="false" outlineLevel="0" collapsed="false">
      <c r="A34" s="8" t="s">
        <v>293</v>
      </c>
      <c r="B34" s="23" t="n">
        <f aca="false">B33*(Premissas!$B$58+Premissas!$B$59)</f>
        <v>14361.7922318841</v>
      </c>
      <c r="C34" s="23" t="n">
        <f aca="false">C33*(Premissas!$B$58+Premissas!$B$59)</f>
        <v>6242.22043478261</v>
      </c>
      <c r="D34" s="23" t="n">
        <f aca="false">B34+C34</f>
        <v>20604.0126666667</v>
      </c>
      <c r="E34" s="4" t="s">
        <v>294</v>
      </c>
    </row>
    <row r="35" customFormat="false" ht="15" hidden="false" customHeight="false" outlineLevel="0" collapsed="false">
      <c r="A35" s="17" t="s">
        <v>295</v>
      </c>
      <c r="B35" s="29" t="n">
        <f aca="false">B33+B34</f>
        <v>157979.714550725</v>
      </c>
      <c r="C35" s="29" t="n">
        <f aca="false">C33+C34</f>
        <v>68664.4247826087</v>
      </c>
      <c r="D35" s="29" t="n">
        <f aca="false">B35+C35</f>
        <v>226644.139333333</v>
      </c>
      <c r="E35" s="4"/>
    </row>
    <row r="36" customFormat="false" ht="15" hidden="false" customHeight="false" outlineLevel="0" collapsed="false">
      <c r="A36" s="17" t="s">
        <v>296</v>
      </c>
      <c r="B36" s="30" t="n">
        <f aca="false">IF(B6=0,0,B35/B6)</f>
        <v>5.9570028111133</v>
      </c>
      <c r="C36" s="30" t="n">
        <f aca="false">IF(C6=0,0,C35/C6)</f>
        <v>14.4252993240775</v>
      </c>
      <c r="D36" s="30" t="n">
        <f aca="false">IF((B6+C6)=0,0,D35/(B6+C6))</f>
        <v>7.2456566283035</v>
      </c>
      <c r="E36" s="4" t="s">
        <v>297</v>
      </c>
    </row>
    <row r="37" customFormat="false" ht="15" hidden="false" customHeight="false" outlineLevel="0" collapsed="false">
      <c r="A37" s="8" t="s">
        <v>298</v>
      </c>
      <c r="B37" s="31" t="n">
        <f aca="false">IF(B6=0,0,(B15+B23)/B6)</f>
        <v>3.73545710101209</v>
      </c>
      <c r="C37" s="31" t="n">
        <f aca="false">IF(C6=0,0,(C15+C23)/C6)</f>
        <v>11.4903790646693</v>
      </c>
      <c r="D37" s="31"/>
      <c r="E37" s="4"/>
    </row>
    <row r="38" customFormat="false" ht="15" hidden="false" customHeight="false" outlineLevel="0" collapsed="false">
      <c r="A38" s="8" t="s">
        <v>299</v>
      </c>
      <c r="B38" s="31" t="n">
        <f aca="false">IF(B6=0,0,(B31+B34)/B6)</f>
        <v>2.22154571010121</v>
      </c>
      <c r="C38" s="31" t="n">
        <f aca="false">IF(C6=0,0,(C31+C34)/C6)</f>
        <v>2.93492025940811</v>
      </c>
      <c r="D38" s="31"/>
      <c r="E38" s="4"/>
    </row>
    <row r="39" customFormat="false" ht="15" hidden="false" customHeight="false" outlineLevel="0" collapsed="false">
      <c r="A39" s="6" t="s">
        <v>300</v>
      </c>
      <c r="B39" s="7"/>
      <c r="C39" s="7"/>
      <c r="D39" s="7"/>
      <c r="E39" s="7"/>
    </row>
    <row r="40" customFormat="false" ht="15" hidden="false" customHeight="false" outlineLevel="0" collapsed="false">
      <c r="A40" s="8" t="s">
        <v>301</v>
      </c>
      <c r="B40" s="32" t="n">
        <f aca="false">Premissas!$B$70</f>
        <v>0.1223</v>
      </c>
      <c r="C40" s="32" t="n">
        <f aca="false">Premissas!$B$71</f>
        <v>0.0908</v>
      </c>
      <c r="D40" s="32" t="n">
        <f aca="false">IF((B47+C47)=0,0,(B40*B47+C40*C47)/(B47+C47))</f>
        <v>0.11301996588227</v>
      </c>
      <c r="E40" s="4" t="s">
        <v>302</v>
      </c>
    </row>
    <row r="41" customFormat="false" ht="15" hidden="false" customHeight="false" outlineLevel="0" collapsed="false">
      <c r="A41" s="8" t="s">
        <v>303</v>
      </c>
      <c r="B41" s="32" t="n">
        <f aca="false">Premissas!$B$74</f>
        <v>0.018</v>
      </c>
      <c r="C41" s="32" t="n">
        <f aca="false">Premissas!$B$74</f>
        <v>0.018</v>
      </c>
      <c r="D41" s="32" t="n">
        <f aca="false">IF((B47+C47)=0,0,(B41*B47+C41*C47)/(B47+C47))</f>
        <v>0.018</v>
      </c>
      <c r="E41" s="4" t="s">
        <v>304</v>
      </c>
    </row>
    <row r="42" customFormat="false" ht="15" hidden="false" customHeight="false" outlineLevel="0" collapsed="false">
      <c r="A42" s="8" t="s">
        <v>305</v>
      </c>
      <c r="B42" s="33" t="n">
        <f aca="false">Premissas!$B$60</f>
        <v>0.09</v>
      </c>
      <c r="C42" s="33" t="n">
        <f aca="false">Premissas!$B$60</f>
        <v>0.09</v>
      </c>
      <c r="D42" s="33" t="n">
        <f aca="false">IF((B47+C47)=0,0,(B42*B47+C42*C47)/(B47+C47))</f>
        <v>0.09</v>
      </c>
      <c r="E42" s="4" t="s">
        <v>304</v>
      </c>
    </row>
    <row r="43" customFormat="false" ht="15" hidden="false" customHeight="false" outlineLevel="0" collapsed="false">
      <c r="A43" s="17" t="s">
        <v>306</v>
      </c>
      <c r="B43" s="34" t="n">
        <f aca="false">ROUNDUP(B36/(1-B42-B40-B41),2)</f>
        <v>7.74</v>
      </c>
      <c r="C43" s="34" t="n">
        <f aca="false">ROUNDUP(C36/(1-C42-C40-C41),2)</f>
        <v>18.01</v>
      </c>
      <c r="D43" s="29" t="n">
        <f aca="false">IF((B6+C6)=0,0,D47/(B6+C6))</f>
        <v>9.30282608695652</v>
      </c>
      <c r="E43" s="4" t="s">
        <v>307</v>
      </c>
    </row>
    <row r="44" customFormat="false" ht="15" hidden="false" customHeight="false" outlineLevel="0" collapsed="false">
      <c r="A44" s="8" t="s">
        <v>308</v>
      </c>
      <c r="B44" s="13" t="n">
        <v>11.11</v>
      </c>
      <c r="C44" s="13" t="n">
        <v>11.11</v>
      </c>
      <c r="D44" s="23"/>
      <c r="E44" s="4" t="s">
        <v>309</v>
      </c>
    </row>
    <row r="45" customFormat="false" ht="15" hidden="false" customHeight="false" outlineLevel="0" collapsed="false">
      <c r="A45" s="8" t="s">
        <v>310</v>
      </c>
      <c r="B45" s="35" t="n">
        <f aca="false">IF(B44=0,0,B43/B44-1)</f>
        <v>-0.303330333033303</v>
      </c>
      <c r="C45" s="35" t="n">
        <f aca="false">IF(C44=0,0,C43/C44-1)</f>
        <v>0.621062106210621</v>
      </c>
      <c r="D45" s="35" t="n">
        <f aca="false">IF((B47+C47)=0,0,(B45*B47+C45*C47)/(B47+C47))</f>
        <v>-0.0310003846410859</v>
      </c>
      <c r="E45" s="4" t="s">
        <v>311</v>
      </c>
    </row>
    <row r="46" customFormat="false" ht="15" hidden="false" customHeight="false" outlineLevel="0" collapsed="false">
      <c r="A46" s="8" t="s">
        <v>312</v>
      </c>
      <c r="B46" s="31" t="n">
        <f aca="false">B36/(1-B40-B41)</f>
        <v>6.92916460522659</v>
      </c>
      <c r="C46" s="31" t="n">
        <f aca="false">C36/(1-C40-C41)</f>
        <v>16.1863771589738</v>
      </c>
      <c r="D46" s="31"/>
      <c r="E46" s="4" t="s">
        <v>313</v>
      </c>
    </row>
    <row r="47" customFormat="false" ht="15" hidden="false" customHeight="false" outlineLevel="0" collapsed="false">
      <c r="A47" s="8" t="s">
        <v>314</v>
      </c>
      <c r="B47" s="23" t="n">
        <f aca="false">B43*B6</f>
        <v>205264.8</v>
      </c>
      <c r="C47" s="23" t="n">
        <f aca="false">C43*C6</f>
        <v>85727.6</v>
      </c>
      <c r="D47" s="23" t="n">
        <f aca="false">B47+C47</f>
        <v>290992.4</v>
      </c>
      <c r="E47" s="4"/>
    </row>
    <row r="48" customFormat="false" ht="15" hidden="false" customHeight="false" outlineLevel="0" collapsed="false">
      <c r="A48" s="17" t="s">
        <v>315</v>
      </c>
      <c r="B48" s="29" t="n">
        <f aca="false">B47*(1-B40-B41)-B35</f>
        <v>18486.4340092754</v>
      </c>
      <c r="C48" s="29" t="n">
        <f aca="false">C47*(1-C40-C41)-C35</f>
        <v>7736.01233739131</v>
      </c>
      <c r="D48" s="29" t="n">
        <f aca="false">B48+C48</f>
        <v>26222.4463466667</v>
      </c>
      <c r="E48" s="4"/>
    </row>
    <row r="49" customFormat="false" ht="15" hidden="false" customHeight="false" outlineLevel="0" collapsed="false">
      <c r="A49" s="8" t="s">
        <v>316</v>
      </c>
      <c r="B49" s="23" t="n">
        <f aca="false">B47*Premissas!$B$12</f>
        <v>2463177.6</v>
      </c>
      <c r="C49" s="23" t="n">
        <f aca="false">C47*Premissas!$B$12</f>
        <v>1028731.2</v>
      </c>
      <c r="D49" s="23" t="n">
        <f aca="false">B49+C49</f>
        <v>3491908.8</v>
      </c>
      <c r="E49" s="4"/>
    </row>
    <row r="50" customFormat="false" ht="15" hidden="false" customHeight="false" outlineLevel="0" collapsed="false">
      <c r="A50" s="17" t="s">
        <v>317</v>
      </c>
      <c r="B50" s="29" t="n">
        <f aca="false">B48*Premissas!$B$12</f>
        <v>221837.208111305</v>
      </c>
      <c r="C50" s="29" t="n">
        <f aca="false">C48*Premissas!$B$12</f>
        <v>92832.1480486957</v>
      </c>
      <c r="D50" s="29" t="n">
        <f aca="false">B50+C50</f>
        <v>314669.356160001</v>
      </c>
      <c r="E50" s="4"/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9" min="2" style="0" width="14"/>
  </cols>
  <sheetData>
    <row r="1" customFormat="false" ht="21.75" hidden="false" customHeight="true" outlineLevel="0" collapsed="false">
      <c r="A1" s="1" t="s">
        <v>318</v>
      </c>
      <c r="B1" s="1"/>
      <c r="C1" s="1"/>
      <c r="D1" s="1"/>
      <c r="E1" s="1"/>
      <c r="F1" s="1"/>
      <c r="G1" s="1"/>
      <c r="H1" s="1"/>
      <c r="I1" s="1"/>
    </row>
    <row r="2" customFormat="false" ht="30" hidden="false" customHeight="true" outlineLevel="0" collapsed="false">
      <c r="A2" s="5" t="s">
        <v>319</v>
      </c>
      <c r="B2" s="5"/>
      <c r="C2" s="5"/>
      <c r="D2" s="5"/>
      <c r="E2" s="5"/>
      <c r="F2" s="5"/>
      <c r="G2" s="5"/>
      <c r="H2" s="5"/>
      <c r="I2" s="5"/>
    </row>
    <row r="4" customFormat="false" ht="15" hidden="false" customHeight="false" outlineLevel="0" collapsed="false">
      <c r="A4" s="28" t="s">
        <v>320</v>
      </c>
      <c r="B4" s="36" t="n">
        <v>9.9</v>
      </c>
      <c r="C4" s="19" t="s">
        <v>321</v>
      </c>
    </row>
    <row r="6" customFormat="false" ht="19.5" hidden="false" customHeight="true" outlineLevel="0" collapsed="false">
      <c r="A6" s="2" t="s">
        <v>322</v>
      </c>
      <c r="B6" s="37" t="n">
        <v>0.6</v>
      </c>
      <c r="C6" s="37" t="n">
        <v>0.7</v>
      </c>
      <c r="D6" s="37" t="n">
        <v>0.8</v>
      </c>
      <c r="E6" s="37" t="n">
        <v>0.85</v>
      </c>
      <c r="F6" s="37" t="n">
        <v>0.9</v>
      </c>
      <c r="G6" s="37" t="n">
        <v>1</v>
      </c>
    </row>
    <row r="7" customFormat="false" ht="15" hidden="false" customHeight="false" outlineLevel="0" collapsed="false">
      <c r="A7" s="8" t="s">
        <v>323</v>
      </c>
      <c r="B7" s="38" t="n">
        <f aca="false">(Rotas!C14)*B6</f>
        <v>22080</v>
      </c>
      <c r="C7" s="38" t="n">
        <f aca="false">(Rotas!C14)*C6</f>
        <v>25760</v>
      </c>
      <c r="D7" s="38" t="n">
        <f aca="false">(Rotas!C14)*D6</f>
        <v>29440</v>
      </c>
      <c r="E7" s="38" t="n">
        <f aca="false">(Rotas!C14)*E6</f>
        <v>31280</v>
      </c>
      <c r="F7" s="38" t="n">
        <f aca="false">(Rotas!C14)*F6</f>
        <v>33120</v>
      </c>
      <c r="G7" s="38" t="n">
        <f aca="false">(Rotas!C14)*G6</f>
        <v>36800</v>
      </c>
    </row>
    <row r="8" customFormat="false" ht="15" hidden="false" customHeight="false" outlineLevel="0" collapsed="false">
      <c r="A8" s="8" t="s">
        <v>324</v>
      </c>
      <c r="B8" s="39" t="n">
        <f aca="false">((('Composição de Custo'!D15+'Composição de Custo'!D23))+(('Composição de Custo'!D31-'Composição de Custo'!D30)/'Composição de Custo'!D7)*B7*(1+Premissas!$B$16)+('Composição de Custo'!D30)*B6)*(1+(Premissas!$B$58+Premissas!$B$59))</f>
        <v>209555.077686275</v>
      </c>
      <c r="C8" s="39" t="n">
        <f aca="false">((('Composição de Custo'!D15+'Composição de Custo'!D23))+(('Composição de Custo'!D31-'Composição de Custo'!D30)/'Composição de Custo'!D7)*C7*(1+Premissas!$B$16)+('Composição de Custo'!D30)*C6)*(1+(Premissas!$B$58+Premissas!$B$59))</f>
        <v>216291.860745098</v>
      </c>
      <c r="D8" s="39" t="n">
        <f aca="false">((('Composição de Custo'!D15+'Composição de Custo'!D23))+(('Composição de Custo'!D31-'Composição de Custo'!D30)/'Composição de Custo'!D7)*D7*(1+Premissas!$B$16)+('Composição de Custo'!D30)*D6)*(1+(Premissas!$B$58+Premissas!$B$59))</f>
        <v>223028.643803922</v>
      </c>
      <c r="E8" s="39" t="n">
        <f aca="false">((('Composição de Custo'!D15+'Composição de Custo'!D23))+(('Composição de Custo'!D31-'Composição de Custo'!D30)/'Composição de Custo'!D7)*E7*(1+Premissas!$B$16)+('Composição de Custo'!D30)*E6)*(1+(Premissas!$B$58+Premissas!$B$59))</f>
        <v>226397.035333333</v>
      </c>
      <c r="F8" s="39" t="n">
        <f aca="false">((('Composição de Custo'!D15+'Composição de Custo'!D23))+(('Composição de Custo'!D31-'Composição de Custo'!D30)/'Composição de Custo'!D7)*F7*(1+Premissas!$B$16)+('Composição de Custo'!D30)*F6)*(1+(Premissas!$B$58+Premissas!$B$59))</f>
        <v>229765.426862745</v>
      </c>
      <c r="G8" s="39" t="n">
        <f aca="false">((('Composição de Custo'!D15+'Composição de Custo'!D23))+(('Composição de Custo'!D31-'Composição de Custo'!D30)/'Composição de Custo'!D7)*G7*(1+Premissas!$B$16)+('Composição de Custo'!D30)*G6)*(1+(Premissas!$B$58+Premissas!$B$59))</f>
        <v>236502.209921569</v>
      </c>
    </row>
    <row r="9" customFormat="false" ht="15" hidden="false" customHeight="false" outlineLevel="0" collapsed="false">
      <c r="A9" s="8" t="s">
        <v>296</v>
      </c>
      <c r="B9" s="40" t="n">
        <f aca="false">IF(B7=0,0,B8/B7)</f>
        <v>9.49071909811026</v>
      </c>
      <c r="C9" s="40" t="n">
        <f aca="false">IF(C7=0,0,C8/C7)</f>
        <v>8.39642316557058</v>
      </c>
      <c r="D9" s="40" t="n">
        <f aca="false">IF(D7=0,0,D8/D7)</f>
        <v>7.57570121616582</v>
      </c>
      <c r="E9" s="40" t="n">
        <f aca="false">IF(E7=0,0,E8/E7)</f>
        <v>7.23775688405797</v>
      </c>
      <c r="F9" s="40" t="n">
        <f aca="false">IF(F7=0,0,F8/F7)</f>
        <v>6.93736192218433</v>
      </c>
      <c r="G9" s="40" t="n">
        <f aca="false">IF(G7=0,0,G8/G7)</f>
        <v>6.42669048699915</v>
      </c>
    </row>
    <row r="10" customFormat="false" ht="15" hidden="false" customHeight="false" outlineLevel="0" collapsed="false">
      <c r="A10" s="17" t="s">
        <v>325</v>
      </c>
      <c r="B10" s="39" t="n">
        <f aca="false">ROUNDUP(B9/(1-(Premissas!$B$60)-('Composição de Custo'!D40)-(Premissas!$B$74)),2)</f>
        <v>12.19</v>
      </c>
      <c r="C10" s="39" t="n">
        <f aca="false">ROUNDUP(C9/(1-(Premissas!$B$60)-('Composição de Custo'!D40)-(Premissas!$B$74)),2)</f>
        <v>10.78</v>
      </c>
      <c r="D10" s="39" t="n">
        <f aca="false">ROUNDUP(D9/(1-(Premissas!$B$60)-('Composição de Custo'!D40)-(Premissas!$B$74)),2)</f>
        <v>9.73</v>
      </c>
      <c r="E10" s="39" t="n">
        <f aca="false">ROUNDUP(E9/(1-(Premissas!$B$60)-('Composição de Custo'!D40)-(Premissas!$B$74)),2)</f>
        <v>9.3</v>
      </c>
      <c r="F10" s="39" t="n">
        <f aca="false">ROUNDUP(F9/(1-(Premissas!$B$60)-('Composição de Custo'!D40)-(Premissas!$B$74)),2)</f>
        <v>8.91</v>
      </c>
      <c r="G10" s="39" t="n">
        <f aca="false">ROUNDUP(G9/(1-(Premissas!$B$60)-('Composição de Custo'!D40)-(Premissas!$B$74)),2)</f>
        <v>8.26</v>
      </c>
    </row>
    <row r="11" customFormat="false" ht="15" hidden="false" customHeight="false" outlineLevel="0" collapsed="false">
      <c r="A11" s="17" t="s">
        <v>326</v>
      </c>
      <c r="B11" s="40" t="n">
        <f aca="false">B9/(1-('Composição de Custo'!D40)-(Premissas!$B$74))</f>
        <v>10.9216768228123</v>
      </c>
      <c r="C11" s="40" t="n">
        <f aca="false">C9/(1-('Composição de Custo'!D40)-(Premissas!$B$74))</f>
        <v>9.66238904912864</v>
      </c>
      <c r="D11" s="40" t="n">
        <f aca="false">D9/(1-('Composição de Custo'!D40)-(Premissas!$B$74))</f>
        <v>8.71792321886588</v>
      </c>
      <c r="E11" s="40" t="n">
        <f aca="false">E9/(1-('Composição de Custo'!D40)-(Premissas!$B$74))</f>
        <v>8.3290255240518</v>
      </c>
      <c r="F11" s="40" t="n">
        <f aca="false">F9/(1-('Composição de Custo'!D40)-(Premissas!$B$74))</f>
        <v>7.98333868421706</v>
      </c>
      <c r="G11" s="40" t="n">
        <f aca="false">G9/(1-('Composição de Custo'!D40)-(Premissas!$B$74))</f>
        <v>7.39567105649801</v>
      </c>
    </row>
    <row r="12" customFormat="false" ht="15" hidden="false" customHeight="false" outlineLevel="0" collapsed="false">
      <c r="A12" s="41" t="s">
        <v>327</v>
      </c>
      <c r="B12" s="7"/>
      <c r="C12" s="7"/>
      <c r="D12" s="7"/>
      <c r="E12" s="7"/>
      <c r="F12" s="7"/>
      <c r="G12" s="7"/>
    </row>
    <row r="13" customFormat="false" ht="15" hidden="false" customHeight="false" outlineLevel="0" collapsed="false">
      <c r="A13" s="8" t="s">
        <v>328</v>
      </c>
      <c r="B13" s="39" t="n">
        <f aca="false">$B$4*B7</f>
        <v>218592</v>
      </c>
      <c r="C13" s="39" t="n">
        <f aca="false">$B$4*C7</f>
        <v>255024</v>
      </c>
      <c r="D13" s="39" t="n">
        <f aca="false">$B$4*D7</f>
        <v>291456</v>
      </c>
      <c r="E13" s="39" t="n">
        <f aca="false">$B$4*E7</f>
        <v>309672</v>
      </c>
      <c r="F13" s="39" t="n">
        <f aca="false">$B$4*F7</f>
        <v>327888</v>
      </c>
      <c r="G13" s="39" t="n">
        <f aca="false">$B$4*G7</f>
        <v>364320</v>
      </c>
    </row>
    <row r="14" customFormat="false" ht="15" hidden="false" customHeight="false" outlineLevel="0" collapsed="false">
      <c r="A14" s="17" t="s">
        <v>329</v>
      </c>
      <c r="B14" s="29" t="n">
        <f aca="false">B13*(1-('Composição de Custo'!D40)-(Premissas!$B$74))-B8</f>
        <v>-19602.9940684118</v>
      </c>
      <c r="C14" s="29" t="n">
        <f aca="false">C13*(1-('Composição de Custo'!D40)-(Premissas!$B$74))-C8</f>
        <v>5318.90347574183</v>
      </c>
      <c r="D14" s="29" t="n">
        <f aca="false">D13*(1-('Composição de Custo'!D40)-(Premissas!$B$74))-D8</f>
        <v>30240.8010198954</v>
      </c>
      <c r="E14" s="29" t="n">
        <f aca="false">E13*(1-('Composição de Custo'!D40)-(Premissas!$B$74))-E8</f>
        <v>42701.7497919722</v>
      </c>
      <c r="F14" s="29" t="n">
        <f aca="false">F13*(1-('Composição de Custo'!D40)-(Premissas!$B$74))-F8</f>
        <v>55162.698564049</v>
      </c>
      <c r="G14" s="29" t="n">
        <f aca="false">G13*(1-('Composição de Custo'!D40)-(Premissas!$B$74))-G8</f>
        <v>80084.5961082026</v>
      </c>
    </row>
    <row r="15" customFormat="false" ht="15" hidden="false" customHeight="false" outlineLevel="0" collapsed="false">
      <c r="A15" s="8" t="s">
        <v>330</v>
      </c>
      <c r="B15" s="42" t="n">
        <f aca="false">IF(B13=0,0,B14/B13)</f>
        <v>-0.0896784606408825</v>
      </c>
      <c r="C15" s="42" t="n">
        <f aca="false">IF(C13=0,0,C14/C13)</f>
        <v>0.0208564820398936</v>
      </c>
      <c r="D15" s="42" t="n">
        <f aca="false">IF(D13=0,0,D14/D13)</f>
        <v>0.103757689050476</v>
      </c>
      <c r="E15" s="42" t="n">
        <f aca="false">IF(E13=0,0,E14/E13)</f>
        <v>0.13789348017248</v>
      </c>
      <c r="F15" s="42" t="n">
        <f aca="false">IF(F13=0,0,F14/F13)</f>
        <v>0.168236405614262</v>
      </c>
      <c r="G15" s="42" t="n">
        <f aca="false">IF(G13=0,0,G14/G13)</f>
        <v>0.21981937886529</v>
      </c>
    </row>
    <row r="16" customFormat="false" ht="15" hidden="false" customHeight="false" outlineLevel="0" collapsed="false">
      <c r="A16" s="17" t="s">
        <v>331</v>
      </c>
      <c r="B16" s="39" t="n">
        <f aca="false">B14*Premissas!$B$12</f>
        <v>-235235.928820941</v>
      </c>
      <c r="C16" s="39" t="n">
        <f aca="false">C14*Premissas!$B$12</f>
        <v>63826.8417089019</v>
      </c>
      <c r="D16" s="39" t="n">
        <f aca="false">D14*Premissas!$B$12</f>
        <v>362889.612238745</v>
      </c>
      <c r="E16" s="39" t="n">
        <f aca="false">E14*Premissas!$B$12</f>
        <v>512420.997503666</v>
      </c>
      <c r="F16" s="39" t="n">
        <f aca="false">F14*Premissas!$B$12</f>
        <v>661952.382768588</v>
      </c>
      <c r="G16" s="39" t="n">
        <f aca="false">G14*Premissas!$B$12</f>
        <v>961015.153298431</v>
      </c>
    </row>
    <row r="17" customFormat="false" ht="15" hidden="false" customHeight="false" outlineLevel="0" collapsed="false">
      <c r="A17" s="17" t="s">
        <v>332</v>
      </c>
      <c r="B17" s="39" t="n">
        <f aca="false">IF(Rotas!G14=0,0,B14/Rotas!G14)</f>
        <v>-2800.42772405883</v>
      </c>
      <c r="C17" s="39" t="n">
        <f aca="false">IF(Rotas!G14=0,0,C14/Rotas!G14)</f>
        <v>759.843353677404</v>
      </c>
      <c r="D17" s="39" t="n">
        <f aca="false">IF(Rotas!G14=0,0,D14/Rotas!G14)</f>
        <v>4320.11443141363</v>
      </c>
      <c r="E17" s="39" t="n">
        <f aca="false">IF(Rotas!G14=0,0,E14/Rotas!G14)</f>
        <v>6100.24997028174</v>
      </c>
      <c r="F17" s="39" t="n">
        <f aca="false">IF(Rotas!G14=0,0,F14/Rotas!G14)</f>
        <v>7880.38550914986</v>
      </c>
      <c r="G17" s="39" t="n">
        <f aca="false">IF(Rotas!G14=0,0,G14/Rotas!G14)</f>
        <v>11440.6565868861</v>
      </c>
    </row>
    <row r="19" customFormat="false" ht="30" hidden="false" customHeight="true" outlineLevel="0" collapsed="false">
      <c r="A19" s="5" t="s">
        <v>333</v>
      </c>
      <c r="B19" s="5"/>
      <c r="C19" s="5"/>
      <c r="D19" s="5"/>
      <c r="E19" s="5"/>
      <c r="F19" s="5"/>
      <c r="G19" s="5"/>
      <c r="H19" s="5"/>
      <c r="I19" s="5"/>
    </row>
  </sheetData>
  <mergeCells count="3">
    <mergeCell ref="A1:I1"/>
    <mergeCell ref="A2:I2"/>
    <mergeCell ref="A19:I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62"/>
    <col collapsed="false" customWidth="true" hidden="false" outlineLevel="0" max="4" min="3" style="0" width="14"/>
    <col collapsed="false" customWidth="true" hidden="false" outlineLevel="0" max="5" min="5" style="0" width="16"/>
    <col collapsed="false" customWidth="true" hidden="false" outlineLevel="0" max="6" min="6" style="0" width="18"/>
  </cols>
  <sheetData>
    <row r="1" customFormat="false" ht="21.75" hidden="false" customHeight="true" outlineLevel="0" collapsed="false">
      <c r="A1" s="1" t="s">
        <v>334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28" t="s">
        <v>335</v>
      </c>
      <c r="B3" s="43" t="str">
        <f aca="false">Premissas!$B$6&amp;"  —  CNPJ "&amp;Premissas!$B$7</f>
        <v>AZUL TRANSPORTES E TURISMO LTDA  —  CNPJ 10.764.533/0001-01</v>
      </c>
    </row>
    <row r="4" customFormat="false" ht="15" hidden="false" customHeight="false" outlineLevel="0" collapsed="false">
      <c r="A4" s="28" t="s">
        <v>336</v>
      </c>
      <c r="B4" s="43" t="n">
        <f aca="false">Premissas!$B$8</f>
        <v>0</v>
      </c>
    </row>
    <row r="5" customFormat="false" ht="15" hidden="false" customHeight="false" outlineLevel="0" collapsed="false">
      <c r="A5" s="28" t="s">
        <v>337</v>
      </c>
      <c r="B5" s="43" t="n">
        <f aca="false">Premissas!$B$9</f>
        <v>0</v>
      </c>
    </row>
    <row r="7" customFormat="false" ht="30" hidden="false" customHeight="true" outlineLevel="0" collapsed="false">
      <c r="A7" s="2" t="s">
        <v>75</v>
      </c>
      <c r="B7" s="2" t="s">
        <v>338</v>
      </c>
      <c r="C7" s="2" t="s">
        <v>339</v>
      </c>
      <c r="D7" s="2" t="s">
        <v>232</v>
      </c>
      <c r="E7" s="2" t="s">
        <v>340</v>
      </c>
      <c r="F7" s="2" t="s">
        <v>341</v>
      </c>
    </row>
    <row r="8" customFormat="false" ht="31.5" hidden="false" customHeight="true" outlineLevel="0" collapsed="false">
      <c r="A8" s="44" t="n">
        <v>1</v>
      </c>
      <c r="B8" s="44" t="s">
        <v>342</v>
      </c>
      <c r="C8" s="45" t="n">
        <f aca="false">Rotas!D12</f>
        <v>374400</v>
      </c>
      <c r="D8" s="46" t="n">
        <v>11.11</v>
      </c>
      <c r="E8" s="47" t="n">
        <f aca="false">ROUNDUP('Composição de Custo'!D43,2)</f>
        <v>9.31</v>
      </c>
      <c r="F8" s="48" t="n">
        <f aca="false">C8*E8</f>
        <v>3485664</v>
      </c>
    </row>
    <row r="9" customFormat="false" ht="31.5" hidden="false" customHeight="true" outlineLevel="0" collapsed="false">
      <c r="A9" s="44" t="n">
        <v>2</v>
      </c>
      <c r="B9" s="44" t="s">
        <v>343</v>
      </c>
      <c r="C9" s="45" t="n">
        <f aca="false">Rotas!D13</f>
        <v>67200</v>
      </c>
      <c r="D9" s="46" t="n">
        <v>11.11</v>
      </c>
      <c r="E9" s="47" t="n">
        <f aca="false">ROUNDUP('Composição de Custo'!D43,2)</f>
        <v>9.31</v>
      </c>
      <c r="F9" s="48" t="n">
        <f aca="false">C9*E9</f>
        <v>625632</v>
      </c>
    </row>
    <row r="10" customFormat="false" ht="15" hidden="false" customHeight="false" outlineLevel="0" collapsed="false">
      <c r="A10" s="49"/>
      <c r="B10" s="50" t="s">
        <v>344</v>
      </c>
      <c r="C10" s="49"/>
      <c r="D10" s="49"/>
      <c r="E10" s="49"/>
      <c r="F10" s="27" t="n">
        <f aca="false">F8+F9</f>
        <v>4111296</v>
      </c>
    </row>
    <row r="11" customFormat="false" ht="15" hidden="false" customHeight="false" outlineLevel="0" collapsed="false">
      <c r="A11" s="49"/>
      <c r="B11" s="51" t="s">
        <v>345</v>
      </c>
      <c r="C11" s="49"/>
      <c r="D11" s="49"/>
      <c r="E11" s="49"/>
      <c r="F11" s="52" t="n">
        <f aca="false">C8*D8+C9*D9</f>
        <v>4906176</v>
      </c>
    </row>
    <row r="12" customFormat="false" ht="15" hidden="false" customHeight="false" outlineLevel="0" collapsed="false">
      <c r="A12" s="49"/>
      <c r="B12" s="51" t="s">
        <v>346</v>
      </c>
      <c r="C12" s="49"/>
      <c r="D12" s="49"/>
      <c r="E12" s="49"/>
      <c r="F12" s="53" t="n">
        <f aca="false">IF(F11=0,0,1-F10/F11)</f>
        <v>0.162016201620162</v>
      </c>
    </row>
    <row r="14" customFormat="false" ht="54.75" hidden="false" customHeight="true" outlineLevel="0" collapsed="false">
      <c r="A14" s="5" t="s">
        <v>347</v>
      </c>
      <c r="B14" s="5"/>
      <c r="C14" s="5"/>
      <c r="D14" s="5"/>
      <c r="E14" s="5"/>
      <c r="F14" s="5"/>
    </row>
  </sheetData>
  <mergeCells count="2">
    <mergeCell ref="A1:F1"/>
    <mergeCell ref="A14:F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2026-09-27T23:26:17Z</dcterms:created>
  <dc:creator>openpyxl</dc:creator>
  <dc:description/>
  <dc:language>en-US</dc:language>
  <cp:lastModifiedBy/>
  <dcterms:modified xsi:type="dcterms:W3CDTF">2026-09-27T23:26:17Z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