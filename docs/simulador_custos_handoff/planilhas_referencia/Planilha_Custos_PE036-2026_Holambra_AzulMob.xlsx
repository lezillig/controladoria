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Linhas" sheetId="2" state="visible" r:id="rId4"/>
    <sheet name="Custo por Linha" sheetId="3" state="visible" r:id="rId5"/>
    <sheet name="Proposta (Anexo II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<sst xmlns="http://schemas.openxmlformats.org/spreadsheetml/2006/main" count="274" uniqueCount="218">
  <si>
    <t xml:space="preserve">PLANILHA DE CUSTOS — PREGÃO ELETRÔNICO 036/2026 — PREFEITURA DE HOLAMBRA/SP — Transporte escolar (ônibus 59 lugares)</t>
  </si>
  <si>
    <t xml:space="preserve">Legenda: azul = dado de entrada (edite à vontade) · fundo amarelo = preencher · preto = fórmula · verde = link de outra aba. Todas as premissas de custo são ESTIMATIVAS DE MERCADO (SP, set/2026) — substitua pelos números reais da Azul Mob.</t>
  </si>
  <si>
    <t xml:space="preserve">Item</t>
  </si>
  <si>
    <t xml:space="preserve">Valor</t>
  </si>
  <si>
    <t xml:space="preserve">Unid.</t>
  </si>
  <si>
    <t xml:space="preserve">Observação / fonte</t>
  </si>
  <si>
    <t xml:space="preserve">1. DADOS DO LICITANTE (Anexo II)</t>
  </si>
  <si>
    <t xml:space="preserve">Denominação</t>
  </si>
  <si>
    <t xml:space="preserve">AZUL TRANSPORTES E TURISMO LTDA</t>
  </si>
  <si>
    <t xml:space="preserve">Razão social conforme CNPJ (nome fantasia: Azul Mob).</t>
  </si>
  <si>
    <t xml:space="preserve">Endereço</t>
  </si>
  <si>
    <t xml:space="preserve">PREENCHER — endereço completo da sede (São Paulo/SP).</t>
  </si>
  <si>
    <t xml:space="preserve">CNPJ</t>
  </si>
  <si>
    <t xml:space="preserve">10.764.533/0001-01</t>
  </si>
  <si>
    <t xml:space="preserve">Telefone</t>
  </si>
  <si>
    <t xml:space="preserve">PREENCHER</t>
  </si>
  <si>
    <t xml:space="preserve">E-mail</t>
  </si>
  <si>
    <t xml:space="preserve">Responsável pela assinatura do contrato (nome)</t>
  </si>
  <si>
    <t xml:space="preserve">RG</t>
  </si>
  <si>
    <t xml:space="preserve">CPF</t>
  </si>
  <si>
    <t xml:space="preserve">Cargo</t>
  </si>
  <si>
    <t xml:space="preserve">PREENCHER (ex.: Sócio-administrador)</t>
  </si>
  <si>
    <t xml:space="preserve">Cidade, dia, mês e ano da proposta</t>
  </si>
  <si>
    <t xml:space="preserve">São Paulo, 28 de setembro de 2026</t>
  </si>
  <si>
    <t xml:space="preserve">Sessão do pregão: 28/09/2026 (título do arquivo enviado).</t>
  </si>
  <si>
    <t xml:space="preserve">2. PARÂMETROS DO CONTRATO</t>
  </si>
  <si>
    <t xml:space="preserve">Dias letivos considerados no edital</t>
  </si>
  <si>
    <t xml:space="preserve">dias</t>
  </si>
  <si>
    <t xml:space="preserve">Derivado do edital: em todas as 9 linhas, KM total ÷ KM por dia = 200 (ex.: Linha 01: 27.160 ÷ 135,8 = 200).</t>
  </si>
  <si>
    <t xml:space="preserve">Meses de custo fixo (salários, veículo) no período</t>
  </si>
  <si>
    <t xml:space="preserve">meses</t>
  </si>
  <si>
    <t xml:space="preserve">200 dias letivos ≈ ano letivo completo. A equipe e o veículo custam também nos meses sem aula (férias/recesso). Ajuste se o contrato for menor.</t>
  </si>
  <si>
    <t xml:space="preserve">Km morto / deslocamento garagem ↔ ponto inicial</t>
  </si>
  <si>
    <t xml:space="preserve">% do km</t>
  </si>
  <si>
    <t xml:space="preserve">Estimativa: 10% sobre o km pago. Depende de onde ficará a garagem de apoio em Holambra.</t>
  </si>
  <si>
    <t xml:space="preserve">Reserva técnica de frota</t>
  </si>
  <si>
    <t xml:space="preserve">% da frota</t>
  </si>
  <si>
    <t xml:space="preserve">1 ônibus reserva a cada 10 (edital costuma exigir veículo reserva). Aplicado sobre o custo fixo do veículo.</t>
  </si>
  <si>
    <t xml:space="preserve">3. PESSOAL (por funcionário)</t>
  </si>
  <si>
    <t xml:space="preserve">Salário base — motorista de ônibus (cat. D)</t>
  </si>
  <si>
    <t xml:space="preserve">R$/mês</t>
  </si>
  <si>
    <t xml:space="preserve">ESTIMATIVA. Conferir CCT vigente (SETPESP / Sindicato dos Motoristas) para transporte escolar/fretamento interior SP, 2026.</t>
  </si>
  <si>
    <t xml:space="preserve">Salário base — monitora escolar</t>
  </si>
  <si>
    <t xml:space="preserve">ESTIMATIVA (piso ≈ salário mínimo 2026 + acréscimo). Conferir CCT.</t>
  </si>
  <si>
    <t xml:space="preserve">Encargos e provisões sobre salário</t>
  </si>
  <si>
    <t xml:space="preserve">%</t>
  </si>
  <si>
    <t xml:space="preserve">INSS patronal + RAT + terceiros (~28,8%), FGTS 8%, provisão férias + 1/3, 13º, rescisão/multa FGTS — total típico 68–72% no regime CLT (não Simples).</t>
  </si>
  <si>
    <t xml:space="preserve">Fator jornada estendida — linhas com período NOTURNO</t>
  </si>
  <si>
    <t xml:space="preserve">x</t>
  </si>
  <si>
    <t xml:space="preserve">Linhas 01, 04 e 06 rodam de 5h50 às 23h00: jornada excede 8h → horas extras (50%) + adicional noturno (20%) ou 2º motorista parcial. Fator sobre o custo do motorista.</t>
  </si>
  <si>
    <t xml:space="preserve">Benefícios — VR/VA + cesta + seguro de vida</t>
  </si>
  <si>
    <t xml:space="preserve">R$/mês por func.</t>
  </si>
  <si>
    <t xml:space="preserve">ESTIMATIVA: VA R$ 26/dia × 22 + cesta R$ 200 + seguro/assist. R$ 8. Vale-transporte tende a zero (equipe local, rural).</t>
  </si>
  <si>
    <t xml:space="preserve">Uniforme / EPI / exames (ASO, toxicológico)</t>
  </si>
  <si>
    <t xml:space="preserve">ESTIMATIVA rateada.</t>
  </si>
  <si>
    <t xml:space="preserve">4. VEÍCULO — ônibus mín. 59 lugares (custo fixo mensal por veículo)</t>
  </si>
  <si>
    <t xml:space="preserve">Valor do ônibus (usado, ~8 anos, 59 lug., adequado escolar)</t>
  </si>
  <si>
    <t xml:space="preserve">R$</t>
  </si>
  <si>
    <t xml:space="preserve">ESTIMATIVA de mercado set/2026. Se usar veículo já da frota Azul, informe o valor contábil/FIPE.</t>
  </si>
  <si>
    <t xml:space="preserve">Depreciação anual</t>
  </si>
  <si>
    <t xml:space="preserve">% a.a.</t>
  </si>
  <si>
    <t xml:space="preserve">Linear, vida útil restante ~8 anos com residual.</t>
  </si>
  <si>
    <t xml:space="preserve">Custo de capital / financiamento</t>
  </si>
  <si>
    <t xml:space="preserve">Frota Azul é financiada via CDC/consórcio — use a taxa média real dos contratos.</t>
  </si>
  <si>
    <t xml:space="preserve">Seguro RC + casco (rateio mensal)</t>
  </si>
  <si>
    <t xml:space="preserve">ESTIMATIVA. Apólice escolar Sombrero — conferir prêmio real/veículo.</t>
  </si>
  <si>
    <t xml:space="preserve">IPVA + licenciamento + DPVAT (anual)</t>
  </si>
  <si>
    <t xml:space="preserve">R$/ano</t>
  </si>
  <si>
    <t xml:space="preserve">IPVA SP ônibus 1,5% s/ valor venal + taxas.</t>
  </si>
  <si>
    <t xml:space="preserve">Rastreamento / telemetria (Ituran)</t>
  </si>
  <si>
    <t xml:space="preserve">Valor contratual Azul (estimado).</t>
  </si>
  <si>
    <t xml:space="preserve">Inspeção escolar semestral + vistoria + tacógrafo (anual)</t>
  </si>
  <si>
    <t xml:space="preserve">ESTIMATIVA.</t>
  </si>
  <si>
    <t xml:space="preserve">Garagem / ponto de apoio em Holambra (rateio por veículo)</t>
  </si>
  <si>
    <t xml:space="preserve">R$/mês por veíc.</t>
  </si>
  <si>
    <t xml:space="preserve">ESTIMATIVA: aluguel de pátio ~R$ 4.500/mês ÷ 10 veículos. Necessário porque a sede é em São Paulo (≈140 km).</t>
  </si>
  <si>
    <t xml:space="preserve">5. CUSTOS VARIÁVEIS (por km rodado)</t>
  </si>
  <si>
    <t xml:space="preserve">Diesel S10 — preço médio bomba (SP)</t>
  </si>
  <si>
    <t xml:space="preserve">R$/litro</t>
  </si>
  <si>
    <t xml:space="preserve">ESTIMATIVA (ANP, SP, set/2026). Atualize com a cotação do posto/fornecedor.</t>
  </si>
  <si>
    <t xml:space="preserve">Consumo em ASFALTO — ônibus 59 lug.</t>
  </si>
  <si>
    <t xml:space="preserve">km/litro</t>
  </si>
  <si>
    <t xml:space="preserve">ESTIMATIVA para ônibus urbano/rodoviário leve com paradas.</t>
  </si>
  <si>
    <t xml:space="preserve">Consumo em TERRA (estrada rural)</t>
  </si>
  <si>
    <t xml:space="preserve">ESTIMATIVA: piso de terra reduz ~15–20% o rendimento.</t>
  </si>
  <si>
    <t xml:space="preserve">ARLA 32</t>
  </si>
  <si>
    <t xml:space="preserve">R$/km</t>
  </si>
  <si>
    <t xml:space="preserve">≈5% do volume de diesel × R$ 4,00/l.</t>
  </si>
  <si>
    <t xml:space="preserve">Pneus (novos + recapagem) — asfalto</t>
  </si>
  <si>
    <t xml:space="preserve">6 pneus × R$ 2.300 + 2 recapagens ÷ ~70.000 km.</t>
  </si>
  <si>
    <t xml:space="preserve">Pneus — terra</t>
  </si>
  <si>
    <t xml:space="preserve">Desgaste ~40% maior em terra.</t>
  </si>
  <si>
    <t xml:space="preserve">Manutenção (peças + mão de obra) — asfalto</t>
  </si>
  <si>
    <t xml:space="preserve">ESTIMATIVA para veículo ~8 anos.</t>
  </si>
  <si>
    <t xml:space="preserve">Manutenção — terra</t>
  </si>
  <si>
    <t xml:space="preserve">Suspensão, freios e filtros sofrem mais em terra (~40%).</t>
  </si>
  <si>
    <t xml:space="preserve">Lubrificantes, filtros, lavagem</t>
  </si>
  <si>
    <t xml:space="preserve">6. INDIRETOS, TRIBUTOS E LUCRO (BDI)</t>
  </si>
  <si>
    <t xml:space="preserve">Administração central / overhead</t>
  </si>
  <si>
    <t xml:space="preserve">% s/ custo direto</t>
  </si>
  <si>
    <t xml:space="preserve">Gestão, RH, contabilidade, TI, sistema de motoristas, monitoramento de rota.</t>
  </si>
  <si>
    <t xml:space="preserve">Lucro desejado</t>
  </si>
  <si>
    <t xml:space="preserve">% s/ preço</t>
  </si>
  <si>
    <t xml:space="preserve">Margem líquida alvo — ajuste conforme estratégia de lance.</t>
  </si>
  <si>
    <t xml:space="preserve">PIS</t>
  </si>
  <si>
    <t xml:space="preserve">% s/ faturamento</t>
  </si>
  <si>
    <t xml:space="preserve">Lucro presumido (cumulativo).</t>
  </si>
  <si>
    <t xml:space="preserve">COFINS</t>
  </si>
  <si>
    <t xml:space="preserve">IRPJ (presumido: 8% × 15%)</t>
  </si>
  <si>
    <t xml:space="preserve">Lucro presumido — serviços de transporte, base 8%.</t>
  </si>
  <si>
    <t xml:space="preserve">CSLL (presumido: 12% × 9%)</t>
  </si>
  <si>
    <t xml:space="preserve">Lucro presumido — transporte, base 12%.</t>
  </si>
  <si>
    <t xml:space="preserve">ISS — Holambra</t>
  </si>
  <si>
    <t xml:space="preserve">CONFERIR alíquota municipal para transporte escolar (LC 116, item 16). Pode ser 2% a 5%.</t>
  </si>
  <si>
    <t xml:space="preserve">Total de tributos sobre faturamento</t>
  </si>
  <si>
    <t xml:space="preserve">Se a Azul estiver no Lucro Real ou Simples, substitua as linhas acima.</t>
  </si>
  <si>
    <t xml:space="preserve">DADOS DAS LINHAS — extraídos do Anexo II (Modelo de Proposta) do PE 036/2026 e da planilha de lances Licita+</t>
  </si>
  <si>
    <t xml:space="preserve">Azul: dados do edital (não alterar salvo erro de leitura). Asfalto = km/dia − terra (fórmula). Preço de referência = planilha 'Licita+ Brasil - Planilha de Lances Iniciais'.</t>
  </si>
  <si>
    <t xml:space="preserve">Linha</t>
  </si>
  <si>
    <t xml:space="preserve">KM total (edital)</t>
  </si>
  <si>
    <t xml:space="preserve">KM por dia</t>
  </si>
  <si>
    <t xml:space="preserve">KM terra / dia</t>
  </si>
  <si>
    <t xml:space="preserve">KM asfalto / dia</t>
  </si>
  <si>
    <t xml:space="preserve">% terra</t>
  </si>
  <si>
    <t xml:space="preserve">Períodos</t>
  </si>
  <si>
    <t xml:space="preserve">Noturno?</t>
  </si>
  <si>
    <t xml:space="preserve">Ônibus</t>
  </si>
  <si>
    <t xml:space="preserve">Motoristas</t>
  </si>
  <si>
    <t xml:space="preserve">Monitoras</t>
  </si>
  <si>
    <t xml:space="preserve">Vencimento (edital)</t>
  </si>
  <si>
    <t xml:space="preserve">Preço ref. (R$/km)</t>
  </si>
  <si>
    <t xml:space="preserve">Valor ref. total (R$)</t>
  </si>
  <si>
    <t xml:space="preserve">Matutino, Vespertino e Noturno</t>
  </si>
  <si>
    <t xml:space="preserve">S</t>
  </si>
  <si>
    <t xml:space="preserve">10/12/2026</t>
  </si>
  <si>
    <t xml:space="preserve">Matutino e Vespertino</t>
  </si>
  <si>
    <t xml:space="preserve">N</t>
  </si>
  <si>
    <t xml:space="preserve">Matutino e Vespertino (2 itin.)</t>
  </si>
  <si>
    <t xml:space="preserve">24/04/2027</t>
  </si>
  <si>
    <t xml:space="preserve">TOTAL</t>
  </si>
  <si>
    <t xml:space="preserve">Observações de leitura do edital:</t>
  </si>
  <si>
    <t xml:space="preserve">• Linha 02: o Anexo II não menciona monitora (apenas 1 motorista por período) — confirmar no Termo de Referência; se houver monitora, altere a coluna K.</t>
  </si>
  <si>
    <t xml:space="preserve">• Linha 03: 2 itinerários simultâneos → 2 ônibus, 2 motoristas e 2 monitoras (87,6 km/dia somados).</t>
  </si>
  <si>
    <t xml:space="preserve">• Linhas 01, 04 e 06: período noturno até 23h00 — custo de pessoal recebe o fator de jornada estendida (Premissas).</t>
  </si>
  <si>
    <t xml:space="preserve">• Linha 04 e 06/08: no edital a soma terra + asfalto não bate exatamente com o total do dia; adotou-se terra do edital e asfalto = total − terra.</t>
  </si>
  <si>
    <t xml:space="preserve">• Linha 09: 100% asfalto. Linha 06: maior km terra (49 km/dia), o que eleva combustível, pneus e manutenção.</t>
  </si>
  <si>
    <t xml:space="preserve">• Vencimentos diferentes (10/12/2026 e 24/04/2027) — o edital mesmo assim quantifica 200 dias letivos em todas as linhas.</t>
  </si>
  <si>
    <t xml:space="preserve">COMPOSIÇÃO DE CUSTO E PREÇO POR LINHA (todas as células são fórmulas — altere apenas Premissas e Linhas)</t>
  </si>
  <si>
    <t xml:space="preserve">Preço/km proposto = custo total ÷ (1 − lucro − tributos) ÷ km do edital, arredondado em 2 casas (exigência do edital).</t>
  </si>
  <si>
    <t xml:space="preserve">KM edital</t>
  </si>
  <si>
    <t xml:space="preserve">KM rodado c/ km morto</t>
  </si>
  <si>
    <t xml:space="preserve">Pessoal /mês (R$)</t>
  </si>
  <si>
    <t xml:space="preserve">Veículo /mês (R$)</t>
  </si>
  <si>
    <t xml:space="preserve">Custo fixo total (R$)</t>
  </si>
  <si>
    <t xml:space="preserve">Diesel (R$/km)</t>
  </si>
  <si>
    <t xml:space="preserve">Outros variáveis (R$/km)</t>
  </si>
  <si>
    <t xml:space="preserve">Variável total (R$/km)</t>
  </si>
  <si>
    <t xml:space="preserve">Custo variável total (R$)</t>
  </si>
  <si>
    <t xml:space="preserve">Custo direto (R$)</t>
  </si>
  <si>
    <t xml:space="preserve">Overhead (R$)</t>
  </si>
  <si>
    <t xml:space="preserve">Custo total (R$)</t>
  </si>
  <si>
    <t xml:space="preserve">Custo /km (R$)</t>
  </si>
  <si>
    <t xml:space="preserve">Preço /km PROPOSTO (R$)</t>
  </si>
  <si>
    <t xml:space="preserve">Valor total proposto (R$)</t>
  </si>
  <si>
    <t xml:space="preserve">Lucro líquido (R$)</t>
  </si>
  <si>
    <t xml:space="preserve">Δ vs. referência</t>
  </si>
  <si>
    <t xml:space="preserve">Fixo /km</t>
  </si>
  <si>
    <t xml:space="preserve">Variável /km</t>
  </si>
  <si>
    <t xml:space="preserve">RESUMO</t>
  </si>
  <si>
    <t xml:space="preserve">Valor total da proposta (9 linhas)</t>
  </si>
  <si>
    <t xml:space="preserve">Valor total de referência (Licita+)</t>
  </si>
  <si>
    <t xml:space="preserve">Proposta vs. referência</t>
  </si>
  <si>
    <t xml:space="preserve">Custo total estimado</t>
  </si>
  <si>
    <t xml:space="preserve">Lucro líquido estimado (após tributos)</t>
  </si>
  <si>
    <t xml:space="preserve">Margem líquida sobre faturamento</t>
  </si>
  <si>
    <t xml:space="preserve">Preço médio proposto (R$/km)</t>
  </si>
  <si>
    <t xml:space="preserve">Preço mínimo p/ empatar custo (R$/km, lucro zero)</t>
  </si>
  <si>
    <t xml:space="preserve">Frota necessária (ônibus, sem reserva)</t>
  </si>
  <si>
    <t xml:space="preserve">Motoristas / Monitoras</t>
  </si>
  <si>
    <t xml:space="preserve">ANEXO II — MODELO DE PROPOSTA — PREGÃO ELETRÔNICO N° 036/2026 — PREFEITURA MUNICIPAL DA ESTÂNCIA TURÍSTICA DE HOLAMBRA</t>
  </si>
  <si>
    <t xml:space="preserve">Objeto: Contratação de pessoas jurídicas (empresa especializada em transporte escolar) para a prestação de serviços de transporte escolar para zona rural e urbana para os alunos do Município de Holambra, veículos utilizados: ônibus, conforme condições estabelecidas no Termo de Referência.</t>
  </si>
  <si>
    <t xml:space="preserve">DADOS DO LICITANTE</t>
  </si>
  <si>
    <t xml:space="preserve">DENOMINAÇÃO:</t>
  </si>
  <si>
    <t xml:space="preserve">ENDEREÇO:</t>
  </si>
  <si>
    <t xml:space="preserve">CNPJ:</t>
  </si>
  <si>
    <t xml:space="preserve">TELEFONE:</t>
  </si>
  <si>
    <t xml:space="preserve">E-MAIL:</t>
  </si>
  <si>
    <t xml:space="preserve">RESPONSÁVEL PELA ASSINATURA DO CONTRATO</t>
  </si>
  <si>
    <t xml:space="preserve">NOME:</t>
  </si>
  <si>
    <t xml:space="preserve">RG:</t>
  </si>
  <si>
    <t xml:space="preserve">CPF:</t>
  </si>
  <si>
    <t xml:space="preserve">CARGO:</t>
  </si>
  <si>
    <t xml:space="preserve">LINHAS/ROTAS E SEU ITINERÁRIO</t>
  </si>
  <si>
    <t xml:space="preserve">LINHA/ ROTA</t>
  </si>
  <si>
    <t xml:space="preserve">QTD.</t>
  </si>
  <si>
    <t xml:space="preserve">UNID.</t>
  </si>
  <si>
    <t xml:space="preserve">DESCRIÇÃO DA LINHA</t>
  </si>
  <si>
    <t xml:space="preserve">PREÇO POR KM RODADO</t>
  </si>
  <si>
    <t xml:space="preserve">VALOR TOTAL DA LINHA</t>
  </si>
  <si>
    <t xml:space="preserve">KM</t>
  </si>
  <si>
    <t xml:space="preserve">LINHA 01 – Matutino, Vespertino e Noturno – 135,8 km/dia – veículo mín. 59 lugares – 1 motorista, 1 monitora – seg. a sex. – venc. 10/12/2026</t>
  </si>
  <si>
    <t xml:space="preserve">LINHA 02 – Matutino e Vespertino – 108,8 km/dia – veículo mín. 59 lugares – 1 motorista – seg. a sex. – venc. 10/12/2026</t>
  </si>
  <si>
    <t xml:space="preserve">LINHA 03 – Itinerários 1 e 2 – Matutino e Vespertino – 87,6 km/dia – 2 veículos mín. 59 lugares – 2 motoristas, 2 monitoras – seg. a sex. – venc. 24/04/2027</t>
  </si>
  <si>
    <t xml:space="preserve">LINHA 04 – Matutino, Vespertino e Noturno – 145,6 km/dia – veículo mín. 59 lugares – 1 motorista, 1 monitora – seg. a sex. – venc. 10/12/2026</t>
  </si>
  <si>
    <t xml:space="preserve">LINHA 05 – Matutino e Vespertino – 100,8 km/dia – veículo mín. 59 lugares – 1 motorista, 1 monitora – seg. a sex. – venc. 10/12/2026</t>
  </si>
  <si>
    <t xml:space="preserve">LINHA 06 – Matutino, Vespertino e Noturno – 164,6 km/dia – veículo mín. 59 lugares – 1 motorista, 1 monitora – seg. a sex. – venc. 10/12/2026</t>
  </si>
  <si>
    <t xml:space="preserve">LINHA 07 – Matutino e Vespertino – 83,6 km/dia – veículo mín. 59 lugares – 1 motorista, 1 monitora – seg. a sex. – venc. 10/12/2026</t>
  </si>
  <si>
    <t xml:space="preserve">LINHA 08 – Matutino e Vespertino – 74,4 km/dia – veículo mín. 59 lugares – 1 motorista, 1 monitora – seg. a sex. – venc. 24/04/2027</t>
  </si>
  <si>
    <t xml:space="preserve">LINHA 09 – Matutino e Vespertino – 55,6 km/dia – veículo mín. 59 lugares – 1 motorista, 1 monitora – seg. a sex. – venc. 24/04/2027</t>
  </si>
  <si>
    <t xml:space="preserve">VALOR GLOBAL DA PROPOSTA</t>
  </si>
  <si>
    <t xml:space="preserve">CONDIÇÃO DE PAGAMENTO: 30 (trinta) dias, após a liquidação e aceite pelos gestores do contrato.</t>
  </si>
  <si>
    <t xml:space="preserve">VALIDADE DA PROPOSTA: 60 (SESSENTA) DIAS</t>
  </si>
  <si>
    <t xml:space="preserve">Os valores que ultrapassarem 02 (duas) casas decimais após a vírgula serão desconsiderados para fins de apuração do preço final.</t>
  </si>
  <si>
    <t xml:space="preserve">DECLARAMOS QUE estamos de acordo com os termos do Edital, e acatamos suas determinações, bem como informamos que nos preços propostos estão inclusos todos os custos diretos e indiretos, lucros e demais contribuições pertinentes de nossa responsabilidade, sem qualquer exceção, constituindo-se os referidos preços unitários nas únicas contraprestações da PREFEITURA MUNICIPAL DE HOLAMBRA pelas efetivas prestações de serviços de transporte de alunos, sob nossa conta e risco.</t>
  </si>
  <si>
    <t xml:space="preserve">DECLARAMOS QUE os serviços ofertados atendem a todas as condições fixadas nas normas técnicas especificadas no edital.</t>
  </si>
  <si>
    <t xml:space="preserve">DECLARAMOS QUE nenhum direito a indenização ou a reembolso de quaisquer despesas nos será devido, caso nossa proposta não seja aceita pela PREFEITURA MUNICIPAL DE HOLAMBRA.</t>
  </si>
  <si>
    <t xml:space="preserve">DECLARAMOS QUE CONCORDAMOS integralmente com as condições estipuladas na presente licitação e, que caso vencedores, nos submeteremos ao cumprimento de seus termos.</t>
  </si>
  <si>
    <t xml:space="preserve">_____________________________________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</si>
</sst>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&quot;R$ &quot;#,##0.00;[RED]&quot;(R$ &quot;#,##0.00\);\-"/>
    <numFmt numFmtId="168" formatCode="#,##0.00"/>
    <numFmt numFmtId="169" formatCode="&quot;R$ &quot;#,##0.0000;[RED]&quot;(R$ &quot;#,##0.0000\);\-"/>
    <numFmt numFmtId="170" formatCode="0.00%"/>
    <numFmt numFmtId="171" formatCode="General"/>
    <numFmt numFmtId="172" formatCode="\+0.0%;\-0.0%;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5"/>
      <c r="D5" s="5"/>
    </row>
    <row r="6" customFormat="false" ht="15" hidden="false" customHeight="false" outlineLevel="0" collapsed="false">
      <c r="A6" s="6" t="s">
        <v>7</v>
      </c>
      <c r="B6" s="7" t="s">
        <v>8</v>
      </c>
      <c r="C6" s="6"/>
      <c r="D6" s="8" t="s">
        <v>9</v>
      </c>
    </row>
    <row r="7" customFormat="false" ht="15" hidden="false" customHeight="false" outlineLevel="0" collapsed="false">
      <c r="A7" s="6" t="s">
        <v>10</v>
      </c>
      <c r="B7" s="9"/>
      <c r="C7" s="6"/>
      <c r="D7" s="8" t="s">
        <v>11</v>
      </c>
    </row>
    <row r="8" customFormat="false" ht="15" hidden="false" customHeight="false" outlineLevel="0" collapsed="false">
      <c r="A8" s="6" t="s">
        <v>12</v>
      </c>
      <c r="B8" s="7" t="s">
        <v>13</v>
      </c>
      <c r="C8" s="6"/>
      <c r="D8" s="8"/>
    </row>
    <row r="9" customFormat="false" ht="15" hidden="false" customHeight="false" outlineLevel="0" collapsed="false">
      <c r="A9" s="6" t="s">
        <v>14</v>
      </c>
      <c r="B9" s="9"/>
      <c r="C9" s="6"/>
      <c r="D9" s="8" t="s">
        <v>15</v>
      </c>
    </row>
    <row r="10" customFormat="false" ht="15" hidden="false" customHeight="false" outlineLevel="0" collapsed="false">
      <c r="A10" s="6" t="s">
        <v>16</v>
      </c>
      <c r="B10" s="9"/>
      <c r="C10" s="6"/>
      <c r="D10" s="8" t="s">
        <v>15</v>
      </c>
    </row>
    <row r="11" customFormat="false" ht="15" hidden="false" customHeight="false" outlineLevel="0" collapsed="false">
      <c r="A11" s="6" t="s">
        <v>17</v>
      </c>
      <c r="B11" s="9"/>
      <c r="C11" s="6"/>
      <c r="D11" s="8" t="s">
        <v>15</v>
      </c>
    </row>
    <row r="12" customFormat="false" ht="15" hidden="false" customHeight="false" outlineLevel="0" collapsed="false">
      <c r="A12" s="6" t="s">
        <v>18</v>
      </c>
      <c r="B12" s="9"/>
      <c r="C12" s="6"/>
      <c r="D12" s="8" t="s">
        <v>15</v>
      </c>
    </row>
    <row r="13" customFormat="false" ht="15" hidden="false" customHeight="false" outlineLevel="0" collapsed="false">
      <c r="A13" s="6" t="s">
        <v>19</v>
      </c>
      <c r="B13" s="9"/>
      <c r="C13" s="6"/>
      <c r="D13" s="8" t="s">
        <v>15</v>
      </c>
    </row>
    <row r="14" customFormat="false" ht="15" hidden="false" customHeight="false" outlineLevel="0" collapsed="false">
      <c r="A14" s="6" t="s">
        <v>20</v>
      </c>
      <c r="B14" s="9"/>
      <c r="C14" s="6"/>
      <c r="D14" s="8" t="s">
        <v>21</v>
      </c>
    </row>
    <row r="15" customFormat="false" ht="15" hidden="false" customHeight="false" outlineLevel="0" collapsed="false">
      <c r="A15" s="6" t="s">
        <v>22</v>
      </c>
      <c r="B15" s="7" t="s">
        <v>23</v>
      </c>
      <c r="C15" s="6"/>
      <c r="D15" s="8" t="s">
        <v>24</v>
      </c>
    </row>
    <row r="17" customFormat="false" ht="15" hidden="false" customHeight="false" outlineLevel="0" collapsed="false">
      <c r="A17" s="4" t="s">
        <v>25</v>
      </c>
      <c r="B17" s="5"/>
      <c r="C17" s="5"/>
      <c r="D17" s="5"/>
    </row>
    <row r="18" customFormat="false" ht="22.35" hidden="false" customHeight="false" outlineLevel="0" collapsed="false">
      <c r="A18" s="6" t="s">
        <v>26</v>
      </c>
      <c r="B18" s="10" t="n">
        <v>200</v>
      </c>
      <c r="C18" s="6" t="s">
        <v>27</v>
      </c>
      <c r="D18" s="8" t="s">
        <v>28</v>
      </c>
    </row>
    <row r="19" customFormat="false" ht="22.35" hidden="false" customHeight="false" outlineLevel="0" collapsed="false">
      <c r="A19" s="6" t="s">
        <v>29</v>
      </c>
      <c r="B19" s="10" t="n">
        <v>12</v>
      </c>
      <c r="C19" s="6" t="s">
        <v>30</v>
      </c>
      <c r="D19" s="8" t="s">
        <v>31</v>
      </c>
    </row>
    <row r="20" customFormat="false" ht="22.35" hidden="false" customHeight="false" outlineLevel="0" collapsed="false">
      <c r="A20" s="6" t="s">
        <v>32</v>
      </c>
      <c r="B20" s="11" t="n">
        <v>0.1</v>
      </c>
      <c r="C20" s="6" t="s">
        <v>33</v>
      </c>
      <c r="D20" s="8" t="s">
        <v>34</v>
      </c>
    </row>
    <row r="21" customFormat="false" ht="22.35" hidden="false" customHeight="false" outlineLevel="0" collapsed="false">
      <c r="A21" s="6" t="s">
        <v>35</v>
      </c>
      <c r="B21" s="11" t="n">
        <v>0.1</v>
      </c>
      <c r="C21" s="6" t="s">
        <v>36</v>
      </c>
      <c r="D21" s="8" t="s">
        <v>37</v>
      </c>
    </row>
    <row r="23" customFormat="false" ht="15" hidden="false" customHeight="false" outlineLevel="0" collapsed="false">
      <c r="A23" s="4" t="s">
        <v>38</v>
      </c>
      <c r="B23" s="5"/>
      <c r="C23" s="5"/>
      <c r="D23" s="5"/>
    </row>
    <row r="24" customFormat="false" ht="22.35" hidden="false" customHeight="false" outlineLevel="0" collapsed="false">
      <c r="A24" s="6" t="s">
        <v>39</v>
      </c>
      <c r="B24" s="12" t="n">
        <v>3200</v>
      </c>
      <c r="C24" s="6" t="s">
        <v>40</v>
      </c>
      <c r="D24" s="8" t="s">
        <v>41</v>
      </c>
    </row>
    <row r="25" customFormat="false" ht="15" hidden="false" customHeight="false" outlineLevel="0" collapsed="false">
      <c r="A25" s="6" t="s">
        <v>42</v>
      </c>
      <c r="B25" s="12" t="n">
        <v>1900</v>
      </c>
      <c r="C25" s="6" t="s">
        <v>40</v>
      </c>
      <c r="D25" s="8" t="s">
        <v>43</v>
      </c>
    </row>
    <row r="26" customFormat="false" ht="22.35" hidden="false" customHeight="false" outlineLevel="0" collapsed="false">
      <c r="A26" s="6" t="s">
        <v>44</v>
      </c>
      <c r="B26" s="11" t="n">
        <v>0.7</v>
      </c>
      <c r="C26" s="6" t="s">
        <v>45</v>
      </c>
      <c r="D26" s="8" t="s">
        <v>46</v>
      </c>
    </row>
    <row r="27" customFormat="false" ht="22.35" hidden="false" customHeight="false" outlineLevel="0" collapsed="false">
      <c r="A27" s="6" t="s">
        <v>47</v>
      </c>
      <c r="B27" s="13" t="n">
        <v>1.35</v>
      </c>
      <c r="C27" s="6" t="s">
        <v>48</v>
      </c>
      <c r="D27" s="8" t="s">
        <v>49</v>
      </c>
    </row>
    <row r="28" customFormat="false" ht="22.35" hidden="false" customHeight="false" outlineLevel="0" collapsed="false">
      <c r="A28" s="6" t="s">
        <v>50</v>
      </c>
      <c r="B28" s="12" t="n">
        <v>780</v>
      </c>
      <c r="C28" s="6" t="s">
        <v>51</v>
      </c>
      <c r="D28" s="8" t="s">
        <v>52</v>
      </c>
    </row>
    <row r="29" customFormat="false" ht="15" hidden="false" customHeight="false" outlineLevel="0" collapsed="false">
      <c r="A29" s="6" t="s">
        <v>53</v>
      </c>
      <c r="B29" s="12" t="n">
        <v>60</v>
      </c>
      <c r="C29" s="6" t="s">
        <v>51</v>
      </c>
      <c r="D29" s="8" t="s">
        <v>54</v>
      </c>
    </row>
    <row r="31" customFormat="false" ht="15" hidden="false" customHeight="false" outlineLevel="0" collapsed="false">
      <c r="A31" s="4" t="s">
        <v>55</v>
      </c>
      <c r="B31" s="5"/>
      <c r="C31" s="5"/>
      <c r="D31" s="5"/>
    </row>
    <row r="32" customFormat="false" ht="22.35" hidden="false" customHeight="false" outlineLevel="0" collapsed="false">
      <c r="A32" s="6" t="s">
        <v>56</v>
      </c>
      <c r="B32" s="12" t="n">
        <v>280000</v>
      </c>
      <c r="C32" s="6" t="s">
        <v>57</v>
      </c>
      <c r="D32" s="8" t="s">
        <v>58</v>
      </c>
    </row>
    <row r="33" customFormat="false" ht="15" hidden="false" customHeight="false" outlineLevel="0" collapsed="false">
      <c r="A33" s="6" t="s">
        <v>59</v>
      </c>
      <c r="B33" s="11" t="n">
        <v>0.12</v>
      </c>
      <c r="C33" s="6" t="s">
        <v>60</v>
      </c>
      <c r="D33" s="8" t="s">
        <v>61</v>
      </c>
    </row>
    <row r="34" customFormat="false" ht="15" hidden="false" customHeight="false" outlineLevel="0" collapsed="false">
      <c r="A34" s="6" t="s">
        <v>62</v>
      </c>
      <c r="B34" s="11" t="n">
        <v>0.14</v>
      </c>
      <c r="C34" s="6" t="s">
        <v>60</v>
      </c>
      <c r="D34" s="8" t="s">
        <v>63</v>
      </c>
    </row>
    <row r="35" customFormat="false" ht="15" hidden="false" customHeight="false" outlineLevel="0" collapsed="false">
      <c r="A35" s="6" t="s">
        <v>64</v>
      </c>
      <c r="B35" s="12" t="n">
        <v>1100</v>
      </c>
      <c r="C35" s="6" t="s">
        <v>40</v>
      </c>
      <c r="D35" s="8" t="s">
        <v>65</v>
      </c>
    </row>
    <row r="36" customFormat="false" ht="15" hidden="false" customHeight="false" outlineLevel="0" collapsed="false">
      <c r="A36" s="6" t="s">
        <v>66</v>
      </c>
      <c r="B36" s="12" t="n">
        <v>4200</v>
      </c>
      <c r="C36" s="6" t="s">
        <v>67</v>
      </c>
      <c r="D36" s="8" t="s">
        <v>68</v>
      </c>
    </row>
    <row r="37" customFormat="false" ht="15" hidden="false" customHeight="false" outlineLevel="0" collapsed="false">
      <c r="A37" s="6" t="s">
        <v>69</v>
      </c>
      <c r="B37" s="12" t="n">
        <v>90</v>
      </c>
      <c r="C37" s="6" t="s">
        <v>40</v>
      </c>
      <c r="D37" s="8" t="s">
        <v>70</v>
      </c>
    </row>
    <row r="38" customFormat="false" ht="15" hidden="false" customHeight="false" outlineLevel="0" collapsed="false">
      <c r="A38" s="6" t="s">
        <v>71</v>
      </c>
      <c r="B38" s="12" t="n">
        <v>900</v>
      </c>
      <c r="C38" s="6" t="s">
        <v>67</v>
      </c>
      <c r="D38" s="8" t="s">
        <v>72</v>
      </c>
    </row>
    <row r="39" customFormat="false" ht="22.35" hidden="false" customHeight="false" outlineLevel="0" collapsed="false">
      <c r="A39" s="6" t="s">
        <v>73</v>
      </c>
      <c r="B39" s="12" t="n">
        <v>450</v>
      </c>
      <c r="C39" s="6" t="s">
        <v>74</v>
      </c>
      <c r="D39" s="8" t="s">
        <v>75</v>
      </c>
    </row>
    <row r="41" customFormat="false" ht="15" hidden="false" customHeight="false" outlineLevel="0" collapsed="false">
      <c r="A41" s="4" t="s">
        <v>76</v>
      </c>
      <c r="B41" s="5"/>
      <c r="C41" s="5"/>
      <c r="D41" s="5"/>
    </row>
    <row r="42" customFormat="false" ht="15" hidden="false" customHeight="false" outlineLevel="0" collapsed="false">
      <c r="A42" s="6" t="s">
        <v>77</v>
      </c>
      <c r="B42" s="12" t="n">
        <v>6.2</v>
      </c>
      <c r="C42" s="6" t="s">
        <v>78</v>
      </c>
      <c r="D42" s="8" t="s">
        <v>79</v>
      </c>
    </row>
    <row r="43" customFormat="false" ht="15" hidden="false" customHeight="false" outlineLevel="0" collapsed="false">
      <c r="A43" s="6" t="s">
        <v>80</v>
      </c>
      <c r="B43" s="13" t="n">
        <v>2.9</v>
      </c>
      <c r="C43" s="6" t="s">
        <v>81</v>
      </c>
      <c r="D43" s="8" t="s">
        <v>82</v>
      </c>
    </row>
    <row r="44" customFormat="false" ht="15" hidden="false" customHeight="false" outlineLevel="0" collapsed="false">
      <c r="A44" s="6" t="s">
        <v>83</v>
      </c>
      <c r="B44" s="13" t="n">
        <v>2.4</v>
      </c>
      <c r="C44" s="6" t="s">
        <v>81</v>
      </c>
      <c r="D44" s="8" t="s">
        <v>84</v>
      </c>
    </row>
    <row r="45" customFormat="false" ht="15" hidden="false" customHeight="false" outlineLevel="0" collapsed="false">
      <c r="A45" s="6" t="s">
        <v>85</v>
      </c>
      <c r="B45" s="14" t="n">
        <v>0.07</v>
      </c>
      <c r="C45" s="6" t="s">
        <v>86</v>
      </c>
      <c r="D45" s="8" t="s">
        <v>87</v>
      </c>
    </row>
    <row r="46" customFormat="false" ht="15" hidden="false" customHeight="false" outlineLevel="0" collapsed="false">
      <c r="A46" s="6" t="s">
        <v>88</v>
      </c>
      <c r="B46" s="14" t="n">
        <v>0.24</v>
      </c>
      <c r="C46" s="6" t="s">
        <v>86</v>
      </c>
      <c r="D46" s="8" t="s">
        <v>89</v>
      </c>
    </row>
    <row r="47" customFormat="false" ht="15" hidden="false" customHeight="false" outlineLevel="0" collapsed="false">
      <c r="A47" s="6" t="s">
        <v>90</v>
      </c>
      <c r="B47" s="14" t="n">
        <v>0.34</v>
      </c>
      <c r="C47" s="6" t="s">
        <v>86</v>
      </c>
      <c r="D47" s="8" t="s">
        <v>91</v>
      </c>
    </row>
    <row r="48" customFormat="false" ht="15" hidden="false" customHeight="false" outlineLevel="0" collapsed="false">
      <c r="A48" s="6" t="s">
        <v>92</v>
      </c>
      <c r="B48" s="14" t="n">
        <v>0.95</v>
      </c>
      <c r="C48" s="6" t="s">
        <v>86</v>
      </c>
      <c r="D48" s="8" t="s">
        <v>93</v>
      </c>
    </row>
    <row r="49" customFormat="false" ht="15" hidden="false" customHeight="false" outlineLevel="0" collapsed="false">
      <c r="A49" s="6" t="s">
        <v>94</v>
      </c>
      <c r="B49" s="14" t="n">
        <v>1.35</v>
      </c>
      <c r="C49" s="6" t="s">
        <v>86</v>
      </c>
      <c r="D49" s="8" t="s">
        <v>95</v>
      </c>
    </row>
    <row r="50" customFormat="false" ht="15" hidden="false" customHeight="false" outlineLevel="0" collapsed="false">
      <c r="A50" s="6" t="s">
        <v>96</v>
      </c>
      <c r="B50" s="14" t="n">
        <v>0.09</v>
      </c>
      <c r="C50" s="6" t="s">
        <v>86</v>
      </c>
      <c r="D50" s="8" t="s">
        <v>72</v>
      </c>
    </row>
    <row r="52" customFormat="false" ht="15" hidden="false" customHeight="false" outlineLevel="0" collapsed="false">
      <c r="A52" s="4" t="s">
        <v>97</v>
      </c>
      <c r="B52" s="5"/>
      <c r="C52" s="5"/>
      <c r="D52" s="5"/>
    </row>
    <row r="53" customFormat="false" ht="15" hidden="false" customHeight="false" outlineLevel="0" collapsed="false">
      <c r="A53" s="6" t="s">
        <v>98</v>
      </c>
      <c r="B53" s="11" t="n">
        <v>0.08</v>
      </c>
      <c r="C53" s="6" t="s">
        <v>99</v>
      </c>
      <c r="D53" s="8" t="s">
        <v>100</v>
      </c>
    </row>
    <row r="54" customFormat="false" ht="15" hidden="false" customHeight="false" outlineLevel="0" collapsed="false">
      <c r="A54" s="6" t="s">
        <v>101</v>
      </c>
      <c r="B54" s="11" t="n">
        <v>0.1</v>
      </c>
      <c r="C54" s="6" t="s">
        <v>102</v>
      </c>
      <c r="D54" s="8" t="s">
        <v>103</v>
      </c>
    </row>
    <row r="55" customFormat="false" ht="15" hidden="false" customHeight="false" outlineLevel="0" collapsed="false">
      <c r="A55" s="6" t="s">
        <v>104</v>
      </c>
      <c r="B55" s="15" t="n">
        <v>0.0065</v>
      </c>
      <c r="C55" s="6" t="s">
        <v>105</v>
      </c>
      <c r="D55" s="8" t="s">
        <v>106</v>
      </c>
    </row>
    <row r="56" customFormat="false" ht="15" hidden="false" customHeight="false" outlineLevel="0" collapsed="false">
      <c r="A56" s="6" t="s">
        <v>107</v>
      </c>
      <c r="B56" s="15" t="n">
        <v>0.03</v>
      </c>
      <c r="C56" s="6" t="s">
        <v>105</v>
      </c>
      <c r="D56" s="8" t="s">
        <v>106</v>
      </c>
    </row>
    <row r="57" customFormat="false" ht="15" hidden="false" customHeight="false" outlineLevel="0" collapsed="false">
      <c r="A57" s="6" t="s">
        <v>108</v>
      </c>
      <c r="B57" s="15" t="n">
        <v>0.012</v>
      </c>
      <c r="C57" s="6" t="s">
        <v>105</v>
      </c>
      <c r="D57" s="8" t="s">
        <v>109</v>
      </c>
    </row>
    <row r="58" customFormat="false" ht="15" hidden="false" customHeight="false" outlineLevel="0" collapsed="false">
      <c r="A58" s="6" t="s">
        <v>110</v>
      </c>
      <c r="B58" s="15" t="n">
        <v>0.0108</v>
      </c>
      <c r="C58" s="6" t="s">
        <v>105</v>
      </c>
      <c r="D58" s="8" t="s">
        <v>111</v>
      </c>
    </row>
    <row r="59" customFormat="false" ht="15" hidden="false" customHeight="false" outlineLevel="0" collapsed="false">
      <c r="A59" s="6" t="s">
        <v>112</v>
      </c>
      <c r="B59" s="15" t="n">
        <v>0.05</v>
      </c>
      <c r="C59" s="6" t="s">
        <v>105</v>
      </c>
      <c r="D59" s="8" t="s">
        <v>113</v>
      </c>
    </row>
    <row r="60" customFormat="false" ht="15" hidden="false" customHeight="false" outlineLevel="0" collapsed="false">
      <c r="A60" s="16" t="s">
        <v>114</v>
      </c>
      <c r="B60" s="17" t="n">
        <f aca="false">Premissas!$B$55+Premissas!$B$56+Premissas!$B$57+Premissas!$B$58+Premissas!$B$59</f>
        <v>0.1093</v>
      </c>
      <c r="C60" s="6" t="s">
        <v>45</v>
      </c>
      <c r="D60" s="18" t="s">
        <v>115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8"/>
  </cols>
  <sheetData>
    <row r="1" customFormat="false" ht="21.75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9" t="s">
        <v>117</v>
      </c>
    </row>
    <row r="4" customFormat="false" ht="31.5" hidden="false" customHeight="true" outlineLevel="0" collapsed="false">
      <c r="A4" s="20" t="s">
        <v>118</v>
      </c>
      <c r="B4" s="20" t="s">
        <v>119</v>
      </c>
      <c r="C4" s="20" t="s">
        <v>120</v>
      </c>
      <c r="D4" s="20" t="s">
        <v>121</v>
      </c>
      <c r="E4" s="20" t="s">
        <v>122</v>
      </c>
      <c r="F4" s="20" t="s">
        <v>123</v>
      </c>
      <c r="G4" s="20" t="s">
        <v>124</v>
      </c>
      <c r="H4" s="20" t="s">
        <v>125</v>
      </c>
      <c r="I4" s="20" t="s">
        <v>126</v>
      </c>
      <c r="J4" s="20" t="s">
        <v>127</v>
      </c>
      <c r="K4" s="20" t="s">
        <v>128</v>
      </c>
      <c r="L4" s="20" t="s">
        <v>129</v>
      </c>
      <c r="M4" s="20" t="s">
        <v>130</v>
      </c>
      <c r="N4" s="20" t="s">
        <v>131</v>
      </c>
    </row>
    <row r="5" customFormat="false" ht="15" hidden="false" customHeight="false" outlineLevel="0" collapsed="false">
      <c r="A5" s="21" t="n">
        <v>1</v>
      </c>
      <c r="B5" s="10" t="n">
        <v>27160</v>
      </c>
      <c r="C5" s="13" t="n">
        <v>135.8</v>
      </c>
      <c r="D5" s="13" t="n">
        <v>44.1</v>
      </c>
      <c r="E5" s="22" t="n">
        <f aca="false">C5-D5</f>
        <v>91.7</v>
      </c>
      <c r="F5" s="23" t="n">
        <f aca="false">IF(C5=0,0,D5/C5)</f>
        <v>0.324742268041237</v>
      </c>
      <c r="G5" s="7" t="s">
        <v>132</v>
      </c>
      <c r="H5" s="21" t="s">
        <v>133</v>
      </c>
      <c r="I5" s="21" t="n">
        <v>1</v>
      </c>
      <c r="J5" s="21" t="n">
        <v>1</v>
      </c>
      <c r="K5" s="21" t="n">
        <v>1</v>
      </c>
      <c r="L5" s="21" t="s">
        <v>134</v>
      </c>
      <c r="M5" s="12" t="n">
        <v>23.54</v>
      </c>
      <c r="N5" s="24" t="n">
        <f aca="false">B5*M5</f>
        <v>639346.4</v>
      </c>
    </row>
    <row r="6" customFormat="false" ht="15" hidden="false" customHeight="false" outlineLevel="0" collapsed="false">
      <c r="A6" s="21" t="n">
        <v>2</v>
      </c>
      <c r="B6" s="10" t="n">
        <v>21760</v>
      </c>
      <c r="C6" s="13" t="n">
        <v>108.8</v>
      </c>
      <c r="D6" s="13" t="n">
        <v>14.72</v>
      </c>
      <c r="E6" s="22" t="n">
        <f aca="false">C6-D6</f>
        <v>94.08</v>
      </c>
      <c r="F6" s="23" t="n">
        <f aca="false">IF(C6=0,0,D6/C6)</f>
        <v>0.135294117647059</v>
      </c>
      <c r="G6" s="7" t="s">
        <v>135</v>
      </c>
      <c r="H6" s="21" t="s">
        <v>136</v>
      </c>
      <c r="I6" s="21" t="n">
        <v>1</v>
      </c>
      <c r="J6" s="21" t="n">
        <v>1</v>
      </c>
      <c r="K6" s="21" t="n">
        <v>0</v>
      </c>
      <c r="L6" s="21" t="s">
        <v>134</v>
      </c>
      <c r="M6" s="12" t="n">
        <v>23.55</v>
      </c>
      <c r="N6" s="24" t="n">
        <f aca="false">B6*M6</f>
        <v>512448</v>
      </c>
    </row>
    <row r="7" customFormat="false" ht="15" hidden="false" customHeight="false" outlineLevel="0" collapsed="false">
      <c r="A7" s="21" t="n">
        <v>3</v>
      </c>
      <c r="B7" s="10" t="n">
        <v>17520</v>
      </c>
      <c r="C7" s="13" t="n">
        <v>87.6</v>
      </c>
      <c r="D7" s="13" t="n">
        <v>33.08</v>
      </c>
      <c r="E7" s="22" t="n">
        <f aca="false">C7-D7</f>
        <v>54.52</v>
      </c>
      <c r="F7" s="23" t="n">
        <f aca="false">IF(C7=0,0,D7/C7)</f>
        <v>0.377625570776256</v>
      </c>
      <c r="G7" s="7" t="s">
        <v>137</v>
      </c>
      <c r="H7" s="21" t="s">
        <v>136</v>
      </c>
      <c r="I7" s="21" t="n">
        <v>2</v>
      </c>
      <c r="J7" s="21" t="n">
        <v>2</v>
      </c>
      <c r="K7" s="21" t="n">
        <v>2</v>
      </c>
      <c r="L7" s="21" t="s">
        <v>138</v>
      </c>
      <c r="M7" s="12" t="n">
        <v>25.66</v>
      </c>
      <c r="N7" s="24" t="n">
        <f aca="false">B7*M7</f>
        <v>449563.2</v>
      </c>
    </row>
    <row r="8" customFormat="false" ht="15" hidden="false" customHeight="false" outlineLevel="0" collapsed="false">
      <c r="A8" s="21" t="n">
        <v>4</v>
      </c>
      <c r="B8" s="10" t="n">
        <v>29120</v>
      </c>
      <c r="C8" s="13" t="n">
        <v>145.6</v>
      </c>
      <c r="D8" s="13" t="n">
        <v>30.64</v>
      </c>
      <c r="E8" s="22" t="n">
        <f aca="false">C8-D8</f>
        <v>114.96</v>
      </c>
      <c r="F8" s="23" t="n">
        <f aca="false">IF(C8=0,0,D8/C8)</f>
        <v>0.21043956043956</v>
      </c>
      <c r="G8" s="7" t="s">
        <v>132</v>
      </c>
      <c r="H8" s="21" t="s">
        <v>133</v>
      </c>
      <c r="I8" s="21" t="n">
        <v>1</v>
      </c>
      <c r="J8" s="21" t="n">
        <v>1</v>
      </c>
      <c r="K8" s="21" t="n">
        <v>1</v>
      </c>
      <c r="L8" s="21" t="s">
        <v>134</v>
      </c>
      <c r="M8" s="12" t="n">
        <v>27.6</v>
      </c>
      <c r="N8" s="24" t="n">
        <f aca="false">B8*M8</f>
        <v>803712</v>
      </c>
    </row>
    <row r="9" customFormat="false" ht="15" hidden="false" customHeight="false" outlineLevel="0" collapsed="false">
      <c r="A9" s="21" t="n">
        <v>5</v>
      </c>
      <c r="B9" s="10" t="n">
        <v>20160</v>
      </c>
      <c r="C9" s="13" t="n">
        <v>100.8</v>
      </c>
      <c r="D9" s="13" t="n">
        <v>18.56</v>
      </c>
      <c r="E9" s="22" t="n">
        <f aca="false">C9-D9</f>
        <v>82.24</v>
      </c>
      <c r="F9" s="23" t="n">
        <f aca="false">IF(C9=0,0,D9/C9)</f>
        <v>0.184126984126984</v>
      </c>
      <c r="G9" s="7" t="s">
        <v>135</v>
      </c>
      <c r="H9" s="21" t="s">
        <v>136</v>
      </c>
      <c r="I9" s="21" t="n">
        <v>1</v>
      </c>
      <c r="J9" s="21" t="n">
        <v>1</v>
      </c>
      <c r="K9" s="21" t="n">
        <v>1</v>
      </c>
      <c r="L9" s="21" t="s">
        <v>134</v>
      </c>
      <c r="M9" s="12" t="n">
        <v>25.5</v>
      </c>
      <c r="N9" s="24" t="n">
        <f aca="false">B9*M9</f>
        <v>514080</v>
      </c>
    </row>
    <row r="10" customFormat="false" ht="15" hidden="false" customHeight="false" outlineLevel="0" collapsed="false">
      <c r="A10" s="21" t="n">
        <v>6</v>
      </c>
      <c r="B10" s="10" t="n">
        <v>32920</v>
      </c>
      <c r="C10" s="13" t="n">
        <v>164.6</v>
      </c>
      <c r="D10" s="13" t="n">
        <v>49.02</v>
      </c>
      <c r="E10" s="22" t="n">
        <f aca="false">C10-D10</f>
        <v>115.58</v>
      </c>
      <c r="F10" s="23" t="n">
        <f aca="false">IF(C10=0,0,D10/C10)</f>
        <v>0.297812879708384</v>
      </c>
      <c r="G10" s="7" t="s">
        <v>132</v>
      </c>
      <c r="H10" s="21" t="s">
        <v>133</v>
      </c>
      <c r="I10" s="21" t="n">
        <v>1</v>
      </c>
      <c r="J10" s="21" t="n">
        <v>1</v>
      </c>
      <c r="K10" s="21" t="n">
        <v>1</v>
      </c>
      <c r="L10" s="21" t="s">
        <v>134</v>
      </c>
      <c r="M10" s="12" t="n">
        <v>26.36</v>
      </c>
      <c r="N10" s="24" t="n">
        <f aca="false">B10*M10</f>
        <v>867771.2</v>
      </c>
    </row>
    <row r="11" customFormat="false" ht="15" hidden="false" customHeight="false" outlineLevel="0" collapsed="false">
      <c r="A11" s="21" t="n">
        <v>7</v>
      </c>
      <c r="B11" s="10" t="n">
        <v>16720</v>
      </c>
      <c r="C11" s="13" t="n">
        <v>83.6</v>
      </c>
      <c r="D11" s="13" t="n">
        <v>44.32</v>
      </c>
      <c r="E11" s="22" t="n">
        <f aca="false">C11-D11</f>
        <v>39.28</v>
      </c>
      <c r="F11" s="23" t="n">
        <f aca="false">IF(C11=0,0,D11/C11)</f>
        <v>0.530143540669857</v>
      </c>
      <c r="G11" s="7" t="s">
        <v>135</v>
      </c>
      <c r="H11" s="21" t="s">
        <v>136</v>
      </c>
      <c r="I11" s="21" t="n">
        <v>1</v>
      </c>
      <c r="J11" s="21" t="n">
        <v>1</v>
      </c>
      <c r="K11" s="21" t="n">
        <v>1</v>
      </c>
      <c r="L11" s="21" t="s">
        <v>134</v>
      </c>
      <c r="M11" s="12" t="n">
        <v>25.49</v>
      </c>
      <c r="N11" s="24" t="n">
        <f aca="false">B11*M11</f>
        <v>426192.8</v>
      </c>
    </row>
    <row r="12" customFormat="false" ht="15" hidden="false" customHeight="false" outlineLevel="0" collapsed="false">
      <c r="A12" s="21" t="n">
        <v>8</v>
      </c>
      <c r="B12" s="10" t="n">
        <v>14880</v>
      </c>
      <c r="C12" s="13" t="n">
        <v>74.4</v>
      </c>
      <c r="D12" s="13" t="n">
        <v>23.74</v>
      </c>
      <c r="E12" s="22" t="n">
        <f aca="false">C12-D12</f>
        <v>50.66</v>
      </c>
      <c r="F12" s="23" t="n">
        <f aca="false">IF(C12=0,0,D12/C12)</f>
        <v>0.319086021505376</v>
      </c>
      <c r="G12" s="7" t="s">
        <v>135</v>
      </c>
      <c r="H12" s="21" t="s">
        <v>136</v>
      </c>
      <c r="I12" s="21" t="n">
        <v>1</v>
      </c>
      <c r="J12" s="21" t="n">
        <v>1</v>
      </c>
      <c r="K12" s="21" t="n">
        <v>1</v>
      </c>
      <c r="L12" s="21" t="s">
        <v>138</v>
      </c>
      <c r="M12" s="12" t="n">
        <v>27.8</v>
      </c>
      <c r="N12" s="24" t="n">
        <f aca="false">B12*M12</f>
        <v>413664</v>
      </c>
    </row>
    <row r="13" customFormat="false" ht="15" hidden="false" customHeight="false" outlineLevel="0" collapsed="false">
      <c r="A13" s="21" t="n">
        <v>9</v>
      </c>
      <c r="B13" s="10" t="n">
        <v>11120</v>
      </c>
      <c r="C13" s="13" t="n">
        <v>55.6</v>
      </c>
      <c r="D13" s="13" t="n">
        <v>0</v>
      </c>
      <c r="E13" s="22" t="n">
        <f aca="false">C13-D13</f>
        <v>55.6</v>
      </c>
      <c r="F13" s="23" t="n">
        <f aca="false">IF(C13=0,0,D13/C13)</f>
        <v>0</v>
      </c>
      <c r="G13" s="7" t="s">
        <v>135</v>
      </c>
      <c r="H13" s="21" t="s">
        <v>136</v>
      </c>
      <c r="I13" s="21" t="n">
        <v>1</v>
      </c>
      <c r="J13" s="21" t="n">
        <v>1</v>
      </c>
      <c r="K13" s="21" t="n">
        <v>1</v>
      </c>
      <c r="L13" s="21" t="s">
        <v>138</v>
      </c>
      <c r="M13" s="12" t="n">
        <v>28.9</v>
      </c>
      <c r="N13" s="24" t="n">
        <f aca="false">B13*M13</f>
        <v>321368</v>
      </c>
    </row>
    <row r="14" customFormat="false" ht="15" hidden="false" customHeight="false" outlineLevel="0" collapsed="false">
      <c r="A14" s="25" t="s">
        <v>139</v>
      </c>
      <c r="B14" s="26" t="n">
        <f aca="false">SUM(B5:B13)</f>
        <v>191360</v>
      </c>
      <c r="C14" s="25"/>
      <c r="D14" s="25"/>
      <c r="E14" s="25"/>
      <c r="F14" s="25"/>
      <c r="G14" s="25"/>
      <c r="H14" s="25"/>
      <c r="I14" s="25" t="n">
        <f aca="false">SUM(I5:I13)</f>
        <v>10</v>
      </c>
      <c r="J14" s="25" t="n">
        <f aca="false">SUM(J5:J13)</f>
        <v>10</v>
      </c>
      <c r="K14" s="25" t="n">
        <f aca="false">SUM(K5:K13)</f>
        <v>9</v>
      </c>
      <c r="L14" s="25"/>
      <c r="M14" s="25"/>
      <c r="N14" s="27" t="n">
        <f aca="false">SUM(N5:N13)</f>
        <v>4948145.6</v>
      </c>
    </row>
    <row r="16" customFormat="false" ht="15" hidden="false" customHeight="false" outlineLevel="0" collapsed="false">
      <c r="A16" s="28" t="s">
        <v>140</v>
      </c>
    </row>
    <row r="17" customFormat="false" ht="15" hidden="false" customHeight="false" outlineLevel="0" collapsed="false">
      <c r="A17" s="29" t="s">
        <v>141</v>
      </c>
    </row>
    <row r="18" customFormat="false" ht="15" hidden="false" customHeight="false" outlineLevel="0" collapsed="false">
      <c r="A18" s="29" t="s">
        <v>142</v>
      </c>
    </row>
    <row r="19" customFormat="false" ht="15" hidden="false" customHeight="false" outlineLevel="0" collapsed="false">
      <c r="A19" s="29" t="s">
        <v>143</v>
      </c>
    </row>
    <row r="20" customFormat="false" ht="15" hidden="false" customHeight="false" outlineLevel="0" collapsed="false">
      <c r="A20" s="29" t="s">
        <v>144</v>
      </c>
    </row>
    <row r="21" customFormat="false" ht="15" hidden="false" customHeight="false" outlineLevel="0" collapsed="false">
      <c r="A21" s="29" t="s">
        <v>145</v>
      </c>
    </row>
    <row r="22" customFormat="false" ht="15" hidden="false" customHeight="false" outlineLevel="0" collapsed="false">
      <c r="A22" s="29" t="s">
        <v>146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1" min="10" style="0" width="15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16"/>
    <col collapsed="false" customWidth="true" hidden="false" outlineLevel="0" max="22" min="21" style="0" width="10"/>
  </cols>
  <sheetData>
    <row r="1" customFormat="false" ht="21.75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19" t="s">
        <v>148</v>
      </c>
    </row>
    <row r="4" customFormat="false" ht="45" hidden="false" customHeight="true" outlineLevel="0" collapsed="false">
      <c r="A4" s="20" t="s">
        <v>118</v>
      </c>
      <c r="B4" s="20" t="s">
        <v>149</v>
      </c>
      <c r="C4" s="20" t="s">
        <v>150</v>
      </c>
      <c r="D4" s="20" t="s">
        <v>151</v>
      </c>
      <c r="E4" s="20" t="s">
        <v>152</v>
      </c>
      <c r="F4" s="20" t="s">
        <v>153</v>
      </c>
      <c r="G4" s="20" t="s">
        <v>154</v>
      </c>
      <c r="H4" s="20" t="s">
        <v>155</v>
      </c>
      <c r="I4" s="20" t="s">
        <v>156</v>
      </c>
      <c r="J4" s="20" t="s">
        <v>157</v>
      </c>
      <c r="K4" s="20" t="s">
        <v>158</v>
      </c>
      <c r="L4" s="20" t="s">
        <v>159</v>
      </c>
      <c r="M4" s="20" t="s">
        <v>160</v>
      </c>
      <c r="N4" s="20" t="s">
        <v>161</v>
      </c>
      <c r="O4" s="20" t="s">
        <v>162</v>
      </c>
      <c r="P4" s="20" t="s">
        <v>163</v>
      </c>
      <c r="Q4" s="20" t="s">
        <v>164</v>
      </c>
      <c r="R4" s="20" t="s">
        <v>130</v>
      </c>
      <c r="S4" s="20" t="s">
        <v>165</v>
      </c>
      <c r="T4" s="20" t="s">
        <v>131</v>
      </c>
      <c r="U4" s="20" t="s">
        <v>166</v>
      </c>
      <c r="V4" s="20" t="s">
        <v>167</v>
      </c>
    </row>
    <row r="5" customFormat="false" ht="15" hidden="false" customHeight="false" outlineLevel="0" collapsed="false">
      <c r="A5" s="30" t="n">
        <f aca="false">Linhas!A5</f>
        <v>1</v>
      </c>
      <c r="B5" s="31" t="n">
        <f aca="false">Linhas!B5</f>
        <v>27160</v>
      </c>
      <c r="C5" s="32" t="n">
        <f aca="false">B5*(1+Premissas!$B$20)</f>
        <v>29876</v>
      </c>
      <c r="D5" s="24" t="n">
        <f aca="false">Linhas!J5*Premissas!$B$24*(1+Premissas!$B$26)*IF(Linhas!H5="S",Premissas!$B$27,1)+Linhas!K5*Premissas!$B$25*(1+Premissas!$B$26)+(Linhas!J5+Linhas!K5)*(Premissas!$B$28+Premissas!$B$29)</f>
        <v>12254</v>
      </c>
      <c r="E5" s="24" t="n">
        <f aca="false">Linhas!I5*(1+Premissas!$B$21)*(Premissas!$B$32*(Premissas!$B$33+Premissas!$B$34)/12+Premissas!$B$35+Premissas!$B$36/12+Premissas!$B$37+Premissas!$B$38/12)+Linhas!I5*Premissas!$B$39</f>
        <v>8899.83333333333</v>
      </c>
      <c r="F5" s="24" t="n">
        <f aca="false">(D5+E5)*Premissas!$B$19</f>
        <v>253846</v>
      </c>
      <c r="G5" s="33" t="n">
        <f aca="false">Premissas!$B$42*((1-Linhas!F5)/Premissas!$B$43+Linhas!F5/Premissas!$B$44)</f>
        <v>2.28257198720228</v>
      </c>
      <c r="H5" s="33" t="n">
        <f aca="false">Premissas!$B$45+Premissas!$B$50+(1-Linhas!F5)*(Premissas!$B$46+Premissas!$B$48)+Linhas!F5*(Premissas!$B$47+Premissas!$B$49)</f>
        <v>1.51237113402062</v>
      </c>
      <c r="I5" s="33" t="n">
        <f aca="false">G5+H5</f>
        <v>3.79494312122289</v>
      </c>
      <c r="J5" s="24" t="n">
        <f aca="false">I5*C5</f>
        <v>113377.720689655</v>
      </c>
      <c r="K5" s="24" t="n">
        <f aca="false">F5+J5</f>
        <v>367223.720689655</v>
      </c>
      <c r="L5" s="24" t="n">
        <f aca="false">K5*Premissas!$B$53</f>
        <v>29377.8976551724</v>
      </c>
      <c r="M5" s="24" t="n">
        <f aca="false">K5+L5</f>
        <v>396601.618344828</v>
      </c>
      <c r="N5" s="33" t="n">
        <f aca="false">IF(B5=0,0,M5/B5)</f>
        <v>14.6024159920776</v>
      </c>
      <c r="O5" s="34" t="n">
        <f aca="false">IF(B5=0,0,ROUNDUP(M5/(1-Premissas!$B$54-Premissas!$B$60)/B5,2))</f>
        <v>18.47</v>
      </c>
      <c r="P5" s="24" t="n">
        <f aca="false">O5*B5</f>
        <v>501645.2</v>
      </c>
      <c r="Q5" s="24" t="n">
        <f aca="false">P5*(1-Premissas!$B$60)-M5</f>
        <v>50213.7612951723</v>
      </c>
      <c r="R5" s="35" t="n">
        <f aca="false">Linhas!M5</f>
        <v>23.54</v>
      </c>
      <c r="S5" s="36" t="n">
        <f aca="false">IF(R5=0,0,O5/R5-1)</f>
        <v>-0.215378079864061</v>
      </c>
      <c r="T5" s="37" t="n">
        <f aca="false">Linhas!N5</f>
        <v>639346.4</v>
      </c>
      <c r="U5" s="33" t="n">
        <f aca="false">IF(B5=0,0,F5/B5)</f>
        <v>9.34631811487482</v>
      </c>
      <c r="V5" s="33" t="n">
        <f aca="false">IF(B5=0,0,J5/B5)</f>
        <v>4.17443743334518</v>
      </c>
    </row>
    <row r="6" customFormat="false" ht="15" hidden="false" customHeight="false" outlineLevel="0" collapsed="false">
      <c r="A6" s="30" t="n">
        <f aca="false">Linhas!A6</f>
        <v>2</v>
      </c>
      <c r="B6" s="31" t="n">
        <f aca="false">Linhas!B6</f>
        <v>21760</v>
      </c>
      <c r="C6" s="32" t="n">
        <f aca="false">B6*(1+Premissas!$B$20)</f>
        <v>23936</v>
      </c>
      <c r="D6" s="24" t="n">
        <f aca="false">Linhas!J6*Premissas!$B$24*(1+Premissas!$B$26)*IF(Linhas!H6="S",Premissas!$B$27,1)+Linhas!K6*Premissas!$B$25*(1+Premissas!$B$26)+(Linhas!J6+Linhas!K6)*(Premissas!$B$28+Premissas!$B$29)</f>
        <v>6280</v>
      </c>
      <c r="E6" s="24" t="n">
        <f aca="false">Linhas!I6*(1+Premissas!$B$21)*(Premissas!$B$32*(Premissas!$B$33+Premissas!$B$34)/12+Premissas!$B$35+Premissas!$B$36/12+Premissas!$B$37+Premissas!$B$38/12)+Linhas!I6*Premissas!$B$39</f>
        <v>8899.83333333333</v>
      </c>
      <c r="F6" s="24" t="n">
        <f aca="false">(D6+E6)*Premissas!$B$19</f>
        <v>182158</v>
      </c>
      <c r="G6" s="33" t="n">
        <f aca="false">Premissas!$B$42*((1-Linhas!F6)/Premissas!$B$43+Linhas!F6/Premissas!$B$44)</f>
        <v>2.19819134550372</v>
      </c>
      <c r="H6" s="33" t="n">
        <f aca="false">Premissas!$B$45+Premissas!$B$50+(1-Linhas!F6)*(Premissas!$B$46+Premissas!$B$48)+Linhas!F6*(Premissas!$B$47+Premissas!$B$49)</f>
        <v>1.41764705882353</v>
      </c>
      <c r="I6" s="33" t="n">
        <f aca="false">G6+H6</f>
        <v>3.61583840432725</v>
      </c>
      <c r="J6" s="24" t="n">
        <f aca="false">I6*C6</f>
        <v>86548.708045977</v>
      </c>
      <c r="K6" s="24" t="n">
        <f aca="false">F6+J6</f>
        <v>268706.708045977</v>
      </c>
      <c r="L6" s="24" t="n">
        <f aca="false">K6*Premissas!$B$53</f>
        <v>21496.5366436782</v>
      </c>
      <c r="M6" s="24" t="n">
        <f aca="false">K6+L6</f>
        <v>290203.244689655</v>
      </c>
      <c r="N6" s="33" t="n">
        <f aca="false">IF(B6=0,0,M6/B6)</f>
        <v>13.3365461713996</v>
      </c>
      <c r="O6" s="34" t="n">
        <f aca="false">IF(B6=0,0,ROUNDUP(M6/(1-Premissas!$B$54-Premissas!$B$60)/B6,2))</f>
        <v>16.87</v>
      </c>
      <c r="P6" s="24" t="n">
        <f aca="false">O6*B6</f>
        <v>367091.2</v>
      </c>
      <c r="Q6" s="24" t="n">
        <f aca="false">P6*(1-Premissas!$B$60)-M6</f>
        <v>36764.8871503448</v>
      </c>
      <c r="R6" s="35" t="n">
        <f aca="false">Linhas!M6</f>
        <v>23.55</v>
      </c>
      <c r="S6" s="36" t="n">
        <f aca="false">IF(R6=0,0,O6/R6-1)</f>
        <v>-0.283651804670913</v>
      </c>
      <c r="T6" s="37" t="n">
        <f aca="false">Linhas!N6</f>
        <v>512448</v>
      </c>
      <c r="U6" s="33" t="n">
        <f aca="false">IF(B6=0,0,F6/B6)</f>
        <v>8.37123161764706</v>
      </c>
      <c r="V6" s="33" t="n">
        <f aca="false">IF(B6=0,0,J6/B6)</f>
        <v>3.97742224475997</v>
      </c>
    </row>
    <row r="7" customFormat="false" ht="15" hidden="false" customHeight="false" outlineLevel="0" collapsed="false">
      <c r="A7" s="30" t="n">
        <f aca="false">Linhas!A7</f>
        <v>3</v>
      </c>
      <c r="B7" s="31" t="n">
        <f aca="false">Linhas!B7</f>
        <v>17520</v>
      </c>
      <c r="C7" s="32" t="n">
        <f aca="false">B7*(1+Premissas!$B$20)</f>
        <v>19272</v>
      </c>
      <c r="D7" s="24" t="n">
        <f aca="false">Linhas!J7*Premissas!$B$24*(1+Premissas!$B$26)*IF(Linhas!H7="S",Premissas!$B$27,1)+Linhas!K7*Premissas!$B$25*(1+Premissas!$B$26)+(Linhas!J7+Linhas!K7)*(Premissas!$B$28+Premissas!$B$29)</f>
        <v>20700</v>
      </c>
      <c r="E7" s="24" t="n">
        <f aca="false">Linhas!I7*(1+Premissas!$B$21)*(Premissas!$B$32*(Premissas!$B$33+Premissas!$B$34)/12+Premissas!$B$35+Premissas!$B$36/12+Premissas!$B$37+Premissas!$B$38/12)+Linhas!I7*Premissas!$B$39</f>
        <v>17799.6666666667</v>
      </c>
      <c r="F7" s="24" t="n">
        <f aca="false">(D7+E7)*Premissas!$B$19</f>
        <v>461996</v>
      </c>
      <c r="G7" s="33" t="n">
        <f aca="false">Premissas!$B$42*((1-Linhas!F7)/Premissas!$B$43+Linhas!F7/Premissas!$B$44)</f>
        <v>2.30612633181126</v>
      </c>
      <c r="H7" s="33" t="n">
        <f aca="false">Premissas!$B$45+Premissas!$B$50+(1-Linhas!F7)*(Premissas!$B$46+Premissas!$B$48)+Linhas!F7*(Premissas!$B$47+Premissas!$B$49)</f>
        <v>1.53881278538813</v>
      </c>
      <c r="I7" s="33" t="n">
        <f aca="false">G7+H7</f>
        <v>3.84493911719939</v>
      </c>
      <c r="J7" s="24" t="n">
        <f aca="false">I7*C7</f>
        <v>74099.6666666667</v>
      </c>
      <c r="K7" s="24" t="n">
        <f aca="false">F7+J7</f>
        <v>536095.666666667</v>
      </c>
      <c r="L7" s="24" t="n">
        <f aca="false">K7*Premissas!$B$53</f>
        <v>42887.6533333333</v>
      </c>
      <c r="M7" s="24" t="n">
        <f aca="false">K7+L7</f>
        <v>578983.32</v>
      </c>
      <c r="N7" s="33" t="n">
        <f aca="false">IF(B7=0,0,M7/B7)</f>
        <v>33.0469931506849</v>
      </c>
      <c r="O7" s="34" t="n">
        <f aca="false">IF(B7=0,0,ROUNDUP(M7/(1-Premissas!$B$54-Premissas!$B$60)/B7,2))</f>
        <v>41.8</v>
      </c>
      <c r="P7" s="24" t="n">
        <f aca="false">O7*B7</f>
        <v>732336</v>
      </c>
      <c r="Q7" s="24" t="n">
        <f aca="false">P7*(1-Premissas!$B$60)-M7</f>
        <v>73308.3552</v>
      </c>
      <c r="R7" s="35" t="n">
        <f aca="false">Linhas!M7</f>
        <v>25.66</v>
      </c>
      <c r="S7" s="36" t="n">
        <f aca="false">IF(R7=0,0,O7/R7-1)</f>
        <v>0.628994544037412</v>
      </c>
      <c r="T7" s="37" t="n">
        <f aca="false">Linhas!N7</f>
        <v>449563.2</v>
      </c>
      <c r="U7" s="33" t="n">
        <f aca="false">IF(B7=0,0,F7/B7)</f>
        <v>26.3696347031964</v>
      </c>
      <c r="V7" s="33" t="n">
        <f aca="false">IF(B7=0,0,J7/B7)</f>
        <v>4.22943302891933</v>
      </c>
    </row>
    <row r="8" customFormat="false" ht="15" hidden="false" customHeight="false" outlineLevel="0" collapsed="false">
      <c r="A8" s="30" t="n">
        <f aca="false">Linhas!A8</f>
        <v>4</v>
      </c>
      <c r="B8" s="31" t="n">
        <f aca="false">Linhas!B8</f>
        <v>29120</v>
      </c>
      <c r="C8" s="32" t="n">
        <f aca="false">B8*(1+Premissas!$B$20)</f>
        <v>32032</v>
      </c>
      <c r="D8" s="24" t="n">
        <f aca="false">Linhas!J8*Premissas!$B$24*(1+Premissas!$B$26)*IF(Linhas!H8="S",Premissas!$B$27,1)+Linhas!K8*Premissas!$B$25*(1+Premissas!$B$26)+(Linhas!J8+Linhas!K8)*(Premissas!$B$28+Premissas!$B$29)</f>
        <v>12254</v>
      </c>
      <c r="E8" s="24" t="n">
        <f aca="false">Linhas!I8*(1+Premissas!$B$21)*(Premissas!$B$32*(Premissas!$B$33+Premissas!$B$34)/12+Premissas!$B$35+Premissas!$B$36/12+Premissas!$B$37+Premissas!$B$38/12)+Linhas!I8*Premissas!$B$39</f>
        <v>8899.83333333333</v>
      </c>
      <c r="F8" s="24" t="n">
        <f aca="false">(D8+E8)*Premissas!$B$19</f>
        <v>253846</v>
      </c>
      <c r="G8" s="33" t="n">
        <f aca="false">Premissas!$B$42*((1-Linhas!F8)/Premissas!$B$43+Linhas!F8/Premissas!$B$44)</f>
        <v>2.23166129847164</v>
      </c>
      <c r="H8" s="33" t="n">
        <f aca="false">Premissas!$B$45+Premissas!$B$50+(1-Linhas!F8)*(Premissas!$B$46+Premissas!$B$48)+Linhas!F8*(Premissas!$B$47+Premissas!$B$49)</f>
        <v>1.45521978021978</v>
      </c>
      <c r="I8" s="33" t="n">
        <f aca="false">G8+H8</f>
        <v>3.68688107869142</v>
      </c>
      <c r="J8" s="24" t="n">
        <f aca="false">I8*C8</f>
        <v>118098.174712644</v>
      </c>
      <c r="K8" s="24" t="n">
        <f aca="false">F8+J8</f>
        <v>371944.174712644</v>
      </c>
      <c r="L8" s="24" t="n">
        <f aca="false">K8*Premissas!$B$53</f>
        <v>29755.5339770115</v>
      </c>
      <c r="M8" s="24" t="n">
        <f aca="false">K8+L8</f>
        <v>401699.708689655</v>
      </c>
      <c r="N8" s="33" t="n">
        <f aca="false">IF(B8=0,0,M8/B8)</f>
        <v>13.7946328533535</v>
      </c>
      <c r="O8" s="34" t="n">
        <f aca="false">IF(B8=0,0,ROUNDUP(M8/(1-Premissas!$B$54-Premissas!$B$60)/B8,2))</f>
        <v>17.45</v>
      </c>
      <c r="P8" s="24" t="n">
        <f aca="false">O8*B8</f>
        <v>508144</v>
      </c>
      <c r="Q8" s="24" t="n">
        <f aca="false">P8*(1-Premissas!$B$60)-M8</f>
        <v>50904.1521103448</v>
      </c>
      <c r="R8" s="35" t="n">
        <f aca="false">Linhas!M8</f>
        <v>27.6</v>
      </c>
      <c r="S8" s="36" t="n">
        <f aca="false">IF(R8=0,0,O8/R8-1)</f>
        <v>-0.367753623188406</v>
      </c>
      <c r="T8" s="37" t="n">
        <f aca="false">Linhas!N8</f>
        <v>803712</v>
      </c>
      <c r="U8" s="33" t="n">
        <f aca="false">IF(B8=0,0,F8/B8)</f>
        <v>8.71723901098901</v>
      </c>
      <c r="V8" s="33" t="n">
        <f aca="false">IF(B8=0,0,J8/B8)</f>
        <v>4.05556918656057</v>
      </c>
    </row>
    <row r="9" customFormat="false" ht="15" hidden="false" customHeight="false" outlineLevel="0" collapsed="false">
      <c r="A9" s="30" t="n">
        <f aca="false">Linhas!A9</f>
        <v>5</v>
      </c>
      <c r="B9" s="31" t="n">
        <f aca="false">Linhas!B9</f>
        <v>20160</v>
      </c>
      <c r="C9" s="32" t="n">
        <f aca="false">B9*(1+Premissas!$B$20)</f>
        <v>22176</v>
      </c>
      <c r="D9" s="24" t="n">
        <f aca="false">Linhas!J9*Premissas!$B$24*(1+Premissas!$B$26)*IF(Linhas!H9="S",Premissas!$B$27,1)+Linhas!K9*Premissas!$B$25*(1+Premissas!$B$26)+(Linhas!J9+Linhas!K9)*(Premissas!$B$28+Premissas!$B$29)</f>
        <v>10350</v>
      </c>
      <c r="E9" s="24" t="n">
        <f aca="false">Linhas!I9*(1+Premissas!$B$21)*(Premissas!$B$32*(Premissas!$B$33+Premissas!$B$34)/12+Premissas!$B$35+Premissas!$B$36/12+Premissas!$B$37+Premissas!$B$38/12)+Linhas!I9*Premissas!$B$39</f>
        <v>8899.83333333333</v>
      </c>
      <c r="F9" s="24" t="n">
        <f aca="false">(D9+E9)*Premissas!$B$19</f>
        <v>230998</v>
      </c>
      <c r="G9" s="33" t="n">
        <f aca="false">Premissas!$B$42*((1-Linhas!F9)/Premissas!$B$43+Linhas!F9/Premissas!$B$44)</f>
        <v>2.21994161649334</v>
      </c>
      <c r="H9" s="33" t="n">
        <f aca="false">Premissas!$B$45+Premissas!$B$50+(1-Linhas!F9)*(Premissas!$B$46+Premissas!$B$48)+Linhas!F9*(Premissas!$B$47+Premissas!$B$49)</f>
        <v>1.44206349206349</v>
      </c>
      <c r="I9" s="33" t="n">
        <f aca="false">G9+H9</f>
        <v>3.66200510855683</v>
      </c>
      <c r="J9" s="24" t="n">
        <f aca="false">I9*C9</f>
        <v>81208.6252873563</v>
      </c>
      <c r="K9" s="24" t="n">
        <f aca="false">F9+J9</f>
        <v>312206.625287356</v>
      </c>
      <c r="L9" s="24" t="n">
        <f aca="false">K9*Premissas!$B$53</f>
        <v>24976.5300229885</v>
      </c>
      <c r="M9" s="24" t="n">
        <f aca="false">K9+L9</f>
        <v>337183.155310345</v>
      </c>
      <c r="N9" s="33" t="n">
        <f aca="false">IF(B9=0,0,M9/B9)</f>
        <v>16.7253549261084</v>
      </c>
      <c r="O9" s="34" t="n">
        <f aca="false">IF(B9=0,0,ROUNDUP(M9/(1-Premissas!$B$54-Premissas!$B$60)/B9,2))</f>
        <v>21.16</v>
      </c>
      <c r="P9" s="24" t="n">
        <f aca="false">O9*B9</f>
        <v>426585.6</v>
      </c>
      <c r="Q9" s="24" t="n">
        <f aca="false">P9*(1-Premissas!$B$60)-M9</f>
        <v>42776.6386096551</v>
      </c>
      <c r="R9" s="35" t="n">
        <f aca="false">Linhas!M9</f>
        <v>25.5</v>
      </c>
      <c r="S9" s="36" t="n">
        <f aca="false">IF(R9=0,0,O9/R9-1)</f>
        <v>-0.170196078431373</v>
      </c>
      <c r="T9" s="37" t="n">
        <f aca="false">Linhas!N9</f>
        <v>514080</v>
      </c>
      <c r="U9" s="33" t="n">
        <f aca="false">IF(B9=0,0,F9/B9)</f>
        <v>11.4582341269841</v>
      </c>
      <c r="V9" s="33" t="n">
        <f aca="false">IF(B9=0,0,J9/B9)</f>
        <v>4.02820561941252</v>
      </c>
    </row>
    <row r="10" customFormat="false" ht="15" hidden="false" customHeight="false" outlineLevel="0" collapsed="false">
      <c r="A10" s="30" t="n">
        <f aca="false">Linhas!A10</f>
        <v>6</v>
      </c>
      <c r="B10" s="31" t="n">
        <f aca="false">Linhas!B10</f>
        <v>32920</v>
      </c>
      <c r="C10" s="32" t="n">
        <f aca="false">B10*(1+Premissas!$B$20)</f>
        <v>36212</v>
      </c>
      <c r="D10" s="24" t="n">
        <f aca="false">Linhas!J10*Premissas!$B$24*(1+Premissas!$B$26)*IF(Linhas!H10="S",Premissas!$B$27,1)+Linhas!K10*Premissas!$B$25*(1+Premissas!$B$26)+(Linhas!J10+Linhas!K10)*(Premissas!$B$28+Premissas!$B$29)</f>
        <v>12254</v>
      </c>
      <c r="E10" s="24" t="n">
        <f aca="false">Linhas!I10*(1+Premissas!$B$21)*(Premissas!$B$32*(Premissas!$B$33+Premissas!$B$34)/12+Premissas!$B$35+Premissas!$B$36/12+Premissas!$B$37+Premissas!$B$38/12)+Linhas!I10*Premissas!$B$39</f>
        <v>8899.83333333333</v>
      </c>
      <c r="F10" s="24" t="n">
        <f aca="false">(D10+E10)*Premissas!$B$19</f>
        <v>253846</v>
      </c>
      <c r="G10" s="33" t="n">
        <f aca="false">Premissas!$B$42*((1-Linhas!F10)/Premissas!$B$43+Linhas!F10/Premissas!$B$44)</f>
        <v>2.27057757573218</v>
      </c>
      <c r="H10" s="33" t="n">
        <f aca="false">Premissas!$B$45+Premissas!$B$50+(1-Linhas!F10)*(Premissas!$B$46+Premissas!$B$48)+Linhas!F10*(Premissas!$B$47+Premissas!$B$49)</f>
        <v>1.49890643985419</v>
      </c>
      <c r="I10" s="33" t="n">
        <f aca="false">G10+H10</f>
        <v>3.76948401558637</v>
      </c>
      <c r="J10" s="24" t="n">
        <f aca="false">I10*C10</f>
        <v>136500.555172414</v>
      </c>
      <c r="K10" s="24" t="n">
        <f aca="false">F10+J10</f>
        <v>390346.555172414</v>
      </c>
      <c r="L10" s="24" t="n">
        <f aca="false">K10*Premissas!$B$53</f>
        <v>31227.7244137931</v>
      </c>
      <c r="M10" s="24" t="n">
        <f aca="false">K10+L10</f>
        <v>421574.279586207</v>
      </c>
      <c r="N10" s="33" t="n">
        <f aca="false">IF(B10=0,0,M10/B10)</f>
        <v>12.8060230737001</v>
      </c>
      <c r="O10" s="34" t="n">
        <f aca="false">IF(B10=0,0,ROUNDUP(M10/(1-Premissas!$B$54-Premissas!$B$60)/B10,2))</f>
        <v>16.2</v>
      </c>
      <c r="P10" s="24" t="n">
        <f aca="false">O10*B10</f>
        <v>533304</v>
      </c>
      <c r="Q10" s="24" t="n">
        <f aca="false">P10*(1-Premissas!$B$60)-M10</f>
        <v>53439.5932137931</v>
      </c>
      <c r="R10" s="35" t="n">
        <f aca="false">Linhas!M10</f>
        <v>26.36</v>
      </c>
      <c r="S10" s="36" t="n">
        <f aca="false">IF(R10=0,0,O10/R10-1)</f>
        <v>-0.385432473444613</v>
      </c>
      <c r="T10" s="37" t="n">
        <f aca="false">Linhas!N10</f>
        <v>867771.2</v>
      </c>
      <c r="U10" s="33" t="n">
        <f aca="false">IF(B10=0,0,F10/B10)</f>
        <v>7.71099635479952</v>
      </c>
      <c r="V10" s="33" t="n">
        <f aca="false">IF(B10=0,0,J10/B10)</f>
        <v>4.14643241714501</v>
      </c>
    </row>
    <row r="11" customFormat="false" ht="15" hidden="false" customHeight="false" outlineLevel="0" collapsed="false">
      <c r="A11" s="30" t="n">
        <f aca="false">Linhas!A11</f>
        <v>7</v>
      </c>
      <c r="B11" s="31" t="n">
        <f aca="false">Linhas!B11</f>
        <v>16720</v>
      </c>
      <c r="C11" s="32" t="n">
        <f aca="false">B11*(1+Premissas!$B$20)</f>
        <v>18392</v>
      </c>
      <c r="D11" s="24" t="n">
        <f aca="false">Linhas!J11*Premissas!$B$24*(1+Premissas!$B$26)*IF(Linhas!H11="S",Premissas!$B$27,1)+Linhas!K11*Premissas!$B$25*(1+Premissas!$B$26)+(Linhas!J11+Linhas!K11)*(Premissas!$B$28+Premissas!$B$29)</f>
        <v>10350</v>
      </c>
      <c r="E11" s="24" t="n">
        <f aca="false">Linhas!I11*(1+Premissas!$B$21)*(Premissas!$B$32*(Premissas!$B$33+Premissas!$B$34)/12+Premissas!$B$35+Premissas!$B$36/12+Premissas!$B$37+Premissas!$B$38/12)+Linhas!I11*Premissas!$B$39</f>
        <v>8899.83333333333</v>
      </c>
      <c r="F11" s="24" t="n">
        <f aca="false">(D11+E11)*Premissas!$B$19</f>
        <v>230998</v>
      </c>
      <c r="G11" s="33" t="n">
        <f aca="false">Premissas!$B$42*((1-Linhas!F11)/Premissas!$B$43+Linhas!F11/Premissas!$B$44)</f>
        <v>2.3740581862179</v>
      </c>
      <c r="H11" s="33" t="n">
        <f aca="false">Premissas!$B$45+Premissas!$B$50+(1-Linhas!F11)*(Premissas!$B$46+Premissas!$B$48)+Linhas!F11*(Premissas!$B$47+Premissas!$B$49)</f>
        <v>1.61507177033493</v>
      </c>
      <c r="I11" s="33" t="n">
        <f aca="false">G11+H11</f>
        <v>3.98912995655282</v>
      </c>
      <c r="J11" s="24" t="n">
        <f aca="false">I11*C11</f>
        <v>73368.0781609195</v>
      </c>
      <c r="K11" s="24" t="n">
        <f aca="false">F11+J11</f>
        <v>304366.07816092</v>
      </c>
      <c r="L11" s="24" t="n">
        <f aca="false">K11*Premissas!$B$53</f>
        <v>24349.2862528736</v>
      </c>
      <c r="M11" s="24" t="n">
        <f aca="false">K11+L11</f>
        <v>328715.364413793</v>
      </c>
      <c r="N11" s="33" t="n">
        <f aca="false">IF(B11=0,0,M11/B11)</f>
        <v>19.6600098333608</v>
      </c>
      <c r="O11" s="34" t="n">
        <f aca="false">IF(B11=0,0,ROUNDUP(M11/(1-Premissas!$B$54-Premissas!$B$60)/B11,2))</f>
        <v>24.87</v>
      </c>
      <c r="P11" s="24" t="n">
        <f aca="false">O11*B11</f>
        <v>415826.4</v>
      </c>
      <c r="Q11" s="24" t="n">
        <f aca="false">P11*(1-Premissas!$B$60)-M11</f>
        <v>41661.2100662069</v>
      </c>
      <c r="R11" s="35" t="n">
        <f aca="false">Linhas!M11</f>
        <v>25.49</v>
      </c>
      <c r="S11" s="36" t="n">
        <f aca="false">IF(R11=0,0,O11/R11-1)</f>
        <v>-0.0243232640251078</v>
      </c>
      <c r="T11" s="37" t="n">
        <f aca="false">Linhas!N11</f>
        <v>426192.8</v>
      </c>
      <c r="U11" s="33" t="n">
        <f aca="false">IF(B11=0,0,F11/B11)</f>
        <v>13.8156698564593</v>
      </c>
      <c r="V11" s="33" t="n">
        <f aca="false">IF(B11=0,0,J11/B11)</f>
        <v>4.38804295220811</v>
      </c>
    </row>
    <row r="12" customFormat="false" ht="15" hidden="false" customHeight="false" outlineLevel="0" collapsed="false">
      <c r="A12" s="30" t="n">
        <f aca="false">Linhas!A12</f>
        <v>8</v>
      </c>
      <c r="B12" s="31" t="n">
        <f aca="false">Linhas!B12</f>
        <v>14880</v>
      </c>
      <c r="C12" s="32" t="n">
        <f aca="false">B12*(1+Premissas!$B$20)</f>
        <v>16368</v>
      </c>
      <c r="D12" s="24" t="n">
        <f aca="false">Linhas!J12*Premissas!$B$24*(1+Premissas!$B$26)*IF(Linhas!H12="S",Premissas!$B$27,1)+Linhas!K12*Premissas!$B$25*(1+Premissas!$B$26)+(Linhas!J12+Linhas!K12)*(Premissas!$B$28+Premissas!$B$29)</f>
        <v>10350</v>
      </c>
      <c r="E12" s="24" t="n">
        <f aca="false">Linhas!I12*(1+Premissas!$B$21)*(Premissas!$B$32*(Premissas!$B$33+Premissas!$B$34)/12+Premissas!$B$35+Premissas!$B$36/12+Premissas!$B$37+Premissas!$B$38/12)+Linhas!I12*Premissas!$B$39</f>
        <v>8899.83333333333</v>
      </c>
      <c r="F12" s="24" t="n">
        <f aca="false">(D12+E12)*Premissas!$B$19</f>
        <v>230998</v>
      </c>
      <c r="G12" s="33" t="n">
        <f aca="false">Premissas!$B$42*((1-Linhas!F12)/Premissas!$B$43+Linhas!F12/Premissas!$B$44)</f>
        <v>2.28005268199234</v>
      </c>
      <c r="H12" s="33" t="n">
        <f aca="false">Premissas!$B$45+Premissas!$B$50+(1-Linhas!F12)*(Premissas!$B$46+Premissas!$B$48)+Linhas!F12*(Premissas!$B$47+Premissas!$B$49)</f>
        <v>1.50954301075269</v>
      </c>
      <c r="I12" s="33" t="n">
        <f aca="false">G12+H12</f>
        <v>3.78959569274503</v>
      </c>
      <c r="J12" s="24" t="n">
        <f aca="false">I12*C12</f>
        <v>62028.1022988506</v>
      </c>
      <c r="K12" s="24" t="n">
        <f aca="false">F12+J12</f>
        <v>293026.102298851</v>
      </c>
      <c r="L12" s="24" t="n">
        <f aca="false">K12*Premissas!$B$53</f>
        <v>23442.0881839081</v>
      </c>
      <c r="M12" s="24" t="n">
        <f aca="false">K12+L12</f>
        <v>316468.190482759</v>
      </c>
      <c r="N12" s="33" t="n">
        <f aca="false">IF(B12=0,0,M12/B12)</f>
        <v>21.2680235539488</v>
      </c>
      <c r="O12" s="34" t="n">
        <f aca="false">IF(B12=0,0,ROUNDUP(M12/(1-Premissas!$B$54-Premissas!$B$60)/B12,2))</f>
        <v>26.9</v>
      </c>
      <c r="P12" s="24" t="n">
        <f aca="false">O12*B12</f>
        <v>400272</v>
      </c>
      <c r="Q12" s="24" t="n">
        <f aca="false">P12*(1-Premissas!$B$60)-M12</f>
        <v>40054.0799172414</v>
      </c>
      <c r="R12" s="35" t="n">
        <f aca="false">Linhas!M12</f>
        <v>27.8</v>
      </c>
      <c r="S12" s="36" t="n">
        <f aca="false">IF(R12=0,0,O12/R12-1)</f>
        <v>-0.0323741007194245</v>
      </c>
      <c r="T12" s="37" t="n">
        <f aca="false">Linhas!N12</f>
        <v>413664</v>
      </c>
      <c r="U12" s="33" t="n">
        <f aca="false">IF(B12=0,0,F12/B12)</f>
        <v>15.5240591397849</v>
      </c>
      <c r="V12" s="33" t="n">
        <f aca="false">IF(B12=0,0,J12/B12)</f>
        <v>4.16855526201953</v>
      </c>
    </row>
    <row r="13" customFormat="false" ht="15" hidden="false" customHeight="false" outlineLevel="0" collapsed="false">
      <c r="A13" s="30" t="n">
        <f aca="false">Linhas!A13</f>
        <v>9</v>
      </c>
      <c r="B13" s="31" t="n">
        <f aca="false">Linhas!B13</f>
        <v>11120</v>
      </c>
      <c r="C13" s="32" t="n">
        <f aca="false">B13*(1+Premissas!$B$20)</f>
        <v>12232</v>
      </c>
      <c r="D13" s="24" t="n">
        <f aca="false">Linhas!J13*Premissas!$B$24*(1+Premissas!$B$26)*IF(Linhas!H13="S",Premissas!$B$27,1)+Linhas!K13*Premissas!$B$25*(1+Premissas!$B$26)+(Linhas!J13+Linhas!K13)*(Premissas!$B$28+Premissas!$B$29)</f>
        <v>10350</v>
      </c>
      <c r="E13" s="24" t="n">
        <f aca="false">Linhas!I13*(1+Premissas!$B$21)*(Premissas!$B$32*(Premissas!$B$33+Premissas!$B$34)/12+Premissas!$B$35+Premissas!$B$36/12+Premissas!$B$37+Premissas!$B$38/12)+Linhas!I13*Premissas!$B$39</f>
        <v>8899.83333333333</v>
      </c>
      <c r="F13" s="24" t="n">
        <f aca="false">(D13+E13)*Premissas!$B$19</f>
        <v>230998</v>
      </c>
      <c r="G13" s="33" t="n">
        <f aca="false">Premissas!$B$42*((1-Linhas!F13)/Premissas!$B$43+Linhas!F13/Premissas!$B$44)</f>
        <v>2.13793103448276</v>
      </c>
      <c r="H13" s="33" t="n">
        <f aca="false">Premissas!$B$45+Premissas!$B$50+(1-Linhas!F13)*(Premissas!$B$46+Premissas!$B$48)+Linhas!F13*(Premissas!$B$47+Premissas!$B$49)</f>
        <v>1.35</v>
      </c>
      <c r="I13" s="33" t="n">
        <f aca="false">G13+H13</f>
        <v>3.48793103448276</v>
      </c>
      <c r="J13" s="24" t="n">
        <f aca="false">I13*C13</f>
        <v>42664.3724137931</v>
      </c>
      <c r="K13" s="24" t="n">
        <f aca="false">F13+J13</f>
        <v>273662.372413793</v>
      </c>
      <c r="L13" s="24" t="n">
        <f aca="false">K13*Premissas!$B$53</f>
        <v>21892.9897931035</v>
      </c>
      <c r="M13" s="24" t="n">
        <f aca="false">K13+L13</f>
        <v>295555.362206897</v>
      </c>
      <c r="N13" s="33" t="n">
        <f aca="false">IF(B13=0,0,M13/B13)</f>
        <v>26.5787196229224</v>
      </c>
      <c r="O13" s="34" t="n">
        <f aca="false">IF(B13=0,0,ROUNDUP(M13/(1-Premissas!$B$54-Premissas!$B$60)/B13,2))</f>
        <v>33.62</v>
      </c>
      <c r="P13" s="24" t="n">
        <f aca="false">O13*B13</f>
        <v>373854.4</v>
      </c>
      <c r="Q13" s="24" t="n">
        <f aca="false">P13*(1-Premissas!$B$60)-M13</f>
        <v>37436.7518731034</v>
      </c>
      <c r="R13" s="35" t="n">
        <f aca="false">Linhas!M13</f>
        <v>28.9</v>
      </c>
      <c r="S13" s="36" t="n">
        <f aca="false">IF(R13=0,0,O13/R13-1)</f>
        <v>0.163321799307959</v>
      </c>
      <c r="T13" s="37" t="n">
        <f aca="false">Linhas!N13</f>
        <v>321368</v>
      </c>
      <c r="U13" s="33" t="n">
        <f aca="false">IF(B13=0,0,F13/B13)</f>
        <v>20.7732014388489</v>
      </c>
      <c r="V13" s="33" t="n">
        <f aca="false">IF(B13=0,0,J13/B13)</f>
        <v>3.83672413793104</v>
      </c>
    </row>
    <row r="14" customFormat="false" ht="15" hidden="false" customHeight="false" outlineLevel="0" collapsed="false">
      <c r="A14" s="25" t="s">
        <v>139</v>
      </c>
      <c r="B14" s="26" t="n">
        <f aca="false">SUM(B5:B13)</f>
        <v>191360</v>
      </c>
      <c r="C14" s="26" t="n">
        <f aca="false">SUM(C5:C13)</f>
        <v>210496</v>
      </c>
      <c r="D14" s="25"/>
      <c r="E14" s="25"/>
      <c r="F14" s="27" t="n">
        <f aca="false">SUM(F5:F13)</f>
        <v>2329684</v>
      </c>
      <c r="G14" s="25"/>
      <c r="H14" s="25"/>
      <c r="I14" s="25"/>
      <c r="J14" s="27" t="n">
        <f aca="false">SUM(J5:J13)</f>
        <v>787894.003448276</v>
      </c>
      <c r="K14" s="27" t="n">
        <f aca="false">SUM(K5:K13)</f>
        <v>3117578.00344828</v>
      </c>
      <c r="L14" s="27" t="n">
        <f aca="false">SUM(L5:L13)</f>
        <v>249406.240275862</v>
      </c>
      <c r="M14" s="27" t="n">
        <f aca="false">SUM(M5:M13)</f>
        <v>3366984.24372414</v>
      </c>
      <c r="N14" s="38" t="n">
        <f aca="false">IF(B14=0,0,M14/B14)</f>
        <v>17.5950263572541</v>
      </c>
      <c r="O14" s="38" t="n">
        <f aca="false">IF(B14=0,0,P14/B14)</f>
        <v>22.2567872073579</v>
      </c>
      <c r="P14" s="27" t="n">
        <f aca="false">SUM(P5:P13)</f>
        <v>4259058.8</v>
      </c>
      <c r="Q14" s="27" t="n">
        <f aca="false">SUM(Q5:Q13)</f>
        <v>426559.429435862</v>
      </c>
      <c r="R14" s="25"/>
      <c r="S14" s="39" t="n">
        <f aca="false">IF(T14=0,0,P14/T14-1)</f>
        <v>-0.139261625607783</v>
      </c>
      <c r="T14" s="27" t="n">
        <f aca="false">SUM(T5:T13)</f>
        <v>4948145.6</v>
      </c>
      <c r="U14" s="25"/>
      <c r="V14" s="25"/>
    </row>
    <row r="16" customFormat="false" ht="15" hidden="false" customHeight="false" outlineLevel="0" collapsed="false">
      <c r="A16" s="40" t="s">
        <v>168</v>
      </c>
    </row>
    <row r="17" customFormat="false" ht="15" hidden="false" customHeight="false" outlineLevel="0" collapsed="false">
      <c r="A17" s="41" t="s">
        <v>169</v>
      </c>
      <c r="B17" s="41"/>
      <c r="C17" s="41"/>
      <c r="D17" s="41"/>
      <c r="E17" s="41"/>
      <c r="F17" s="42" t="n">
        <f aca="false">P14</f>
        <v>4259058.8</v>
      </c>
    </row>
    <row r="18" customFormat="false" ht="15" hidden="false" customHeight="false" outlineLevel="0" collapsed="false">
      <c r="A18" s="41" t="s">
        <v>170</v>
      </c>
      <c r="B18" s="41"/>
      <c r="C18" s="41"/>
      <c r="D18" s="41"/>
      <c r="E18" s="41"/>
      <c r="F18" s="42" t="n">
        <f aca="false">T14</f>
        <v>4948145.6</v>
      </c>
    </row>
    <row r="19" customFormat="false" ht="15" hidden="false" customHeight="false" outlineLevel="0" collapsed="false">
      <c r="A19" s="41" t="s">
        <v>171</v>
      </c>
      <c r="B19" s="41"/>
      <c r="C19" s="41"/>
      <c r="D19" s="41"/>
      <c r="E19" s="41"/>
      <c r="F19" s="43" t="n">
        <f aca="false">S14</f>
        <v>-0.139261625607783</v>
      </c>
    </row>
    <row r="20" customFormat="false" ht="15" hidden="false" customHeight="false" outlineLevel="0" collapsed="false">
      <c r="A20" s="41" t="s">
        <v>172</v>
      </c>
      <c r="B20" s="41"/>
      <c r="C20" s="41"/>
      <c r="D20" s="41"/>
      <c r="E20" s="41"/>
      <c r="F20" s="42" t="n">
        <f aca="false">M14</f>
        <v>3366984.24372414</v>
      </c>
    </row>
    <row r="21" customFormat="false" ht="15" hidden="false" customHeight="false" outlineLevel="0" collapsed="false">
      <c r="A21" s="41" t="s">
        <v>173</v>
      </c>
      <c r="B21" s="41"/>
      <c r="C21" s="41"/>
      <c r="D21" s="41"/>
      <c r="E21" s="41"/>
      <c r="F21" s="42" t="n">
        <f aca="false">Q14</f>
        <v>426559.429435862</v>
      </c>
    </row>
    <row r="22" customFormat="false" ht="15" hidden="false" customHeight="false" outlineLevel="0" collapsed="false">
      <c r="A22" s="41" t="s">
        <v>174</v>
      </c>
      <c r="B22" s="41"/>
      <c r="C22" s="41"/>
      <c r="D22" s="41"/>
      <c r="E22" s="41"/>
      <c r="F22" s="44" t="n">
        <f aca="false">IF(P14=0,0,Q14/P14)</f>
        <v>0.100153449263453</v>
      </c>
    </row>
    <row r="23" customFormat="false" ht="15" hidden="false" customHeight="false" outlineLevel="0" collapsed="false">
      <c r="A23" s="41" t="s">
        <v>175</v>
      </c>
      <c r="B23" s="41"/>
      <c r="C23" s="41"/>
      <c r="D23" s="41"/>
      <c r="E23" s="41"/>
      <c r="F23" s="45" t="n">
        <f aca="false">O14</f>
        <v>22.2567872073579</v>
      </c>
    </row>
    <row r="24" customFormat="false" ht="15" hidden="false" customHeight="false" outlineLevel="0" collapsed="false">
      <c r="A24" s="41" t="s">
        <v>176</v>
      </c>
      <c r="B24" s="41"/>
      <c r="C24" s="41"/>
      <c r="D24" s="41"/>
      <c r="E24" s="41"/>
      <c r="F24" s="45" t="n">
        <f aca="false">IF(B14=0,0,M14/(1-Premissas!$B$60)/B14)</f>
        <v>19.7541555599574</v>
      </c>
    </row>
    <row r="25" customFormat="false" ht="15" hidden="false" customHeight="false" outlineLevel="0" collapsed="false">
      <c r="A25" s="41" t="s">
        <v>177</v>
      </c>
      <c r="B25" s="41"/>
      <c r="C25" s="41"/>
      <c r="D25" s="41"/>
      <c r="E25" s="41"/>
      <c r="F25" s="46" t="n">
        <f aca="false">Linhas!I14</f>
        <v>10</v>
      </c>
    </row>
    <row r="26" customFormat="false" ht="15" hidden="false" customHeight="false" outlineLevel="0" collapsed="false">
      <c r="A26" s="41" t="s">
        <v>178</v>
      </c>
      <c r="B26" s="41"/>
      <c r="C26" s="41"/>
      <c r="D26" s="41"/>
      <c r="E26" s="41"/>
      <c r="F26" s="16" t="str">
        <f aca="false">Linhas!J14&amp;" / "&amp;Linhas!K14</f>
        <v>10 / 9</v>
      </c>
    </row>
  </sheetData>
  <mergeCells count="11">
    <mergeCell ref="A1:V1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179</v>
      </c>
      <c r="B1" s="1"/>
      <c r="C1" s="1"/>
      <c r="D1" s="1"/>
      <c r="E1" s="1"/>
      <c r="F1" s="1"/>
    </row>
    <row r="2" customFormat="false" ht="39.75" hidden="false" customHeight="true" outlineLevel="0" collapsed="false">
      <c r="A2" s="47" t="s">
        <v>180</v>
      </c>
      <c r="B2" s="47"/>
      <c r="C2" s="47"/>
      <c r="D2" s="47"/>
      <c r="E2" s="47"/>
      <c r="F2" s="47"/>
    </row>
    <row r="4" customFormat="false" ht="15" hidden="false" customHeight="false" outlineLevel="0" collapsed="false">
      <c r="A4" s="40" t="s">
        <v>181</v>
      </c>
    </row>
    <row r="5" customFormat="false" ht="15" hidden="false" customHeight="false" outlineLevel="0" collapsed="false">
      <c r="A5" s="28" t="s">
        <v>182</v>
      </c>
      <c r="B5" s="48" t="str">
        <f aca="false">Premissas!$B$6</f>
        <v>AZUL TRANSPORTES E TURISMO LTDA</v>
      </c>
      <c r="C5" s="48"/>
      <c r="D5" s="48"/>
      <c r="E5" s="48"/>
      <c r="F5" s="48"/>
    </row>
    <row r="6" customFormat="false" ht="15" hidden="false" customHeight="false" outlineLevel="0" collapsed="false">
      <c r="A6" s="28" t="s">
        <v>183</v>
      </c>
      <c r="B6" s="48" t="n">
        <f aca="false">Premissas!$B$7</f>
        <v>0</v>
      </c>
      <c r="C6" s="48"/>
      <c r="D6" s="48"/>
      <c r="E6" s="48"/>
      <c r="F6" s="48"/>
    </row>
    <row r="7" customFormat="false" ht="15" hidden="false" customHeight="false" outlineLevel="0" collapsed="false">
      <c r="A7" s="28" t="s">
        <v>184</v>
      </c>
      <c r="B7" s="48" t="str">
        <f aca="false">Premissas!$B$8</f>
        <v>10.764.533/0001-01</v>
      </c>
      <c r="C7" s="48"/>
      <c r="D7" s="48"/>
      <c r="E7" s="48"/>
      <c r="F7" s="48"/>
    </row>
    <row r="8" customFormat="false" ht="15" hidden="false" customHeight="false" outlineLevel="0" collapsed="false">
      <c r="A8" s="28" t="s">
        <v>185</v>
      </c>
      <c r="B8" s="48" t="n">
        <f aca="false">Premissas!$B$9</f>
        <v>0</v>
      </c>
      <c r="C8" s="48"/>
      <c r="D8" s="48"/>
      <c r="E8" s="48"/>
      <c r="F8" s="48"/>
    </row>
    <row r="9" customFormat="false" ht="15" hidden="false" customHeight="false" outlineLevel="0" collapsed="false">
      <c r="A9" s="28" t="s">
        <v>186</v>
      </c>
      <c r="B9" s="48" t="n">
        <f aca="false">Premissas!$B$10</f>
        <v>0</v>
      </c>
      <c r="C9" s="48"/>
      <c r="D9" s="48"/>
      <c r="E9" s="48"/>
      <c r="F9" s="48"/>
    </row>
    <row r="11" customFormat="false" ht="15" hidden="false" customHeight="false" outlineLevel="0" collapsed="false">
      <c r="A11" s="40" t="s">
        <v>187</v>
      </c>
    </row>
    <row r="12" customFormat="false" ht="15" hidden="false" customHeight="false" outlineLevel="0" collapsed="false">
      <c r="A12" s="28" t="s">
        <v>188</v>
      </c>
      <c r="B12" s="48" t="n">
        <f aca="false">Premissas!$B$11</f>
        <v>0</v>
      </c>
      <c r="C12" s="48"/>
      <c r="D12" s="48"/>
      <c r="E12" s="48"/>
      <c r="F12" s="48"/>
    </row>
    <row r="13" customFormat="false" ht="15" hidden="false" customHeight="false" outlineLevel="0" collapsed="false">
      <c r="A13" s="28" t="s">
        <v>189</v>
      </c>
      <c r="B13" s="48" t="n">
        <f aca="false">Premissas!$B$12</f>
        <v>0</v>
      </c>
      <c r="C13" s="48"/>
      <c r="D13" s="48"/>
      <c r="E13" s="48"/>
      <c r="F13" s="48"/>
    </row>
    <row r="14" customFormat="false" ht="15" hidden="false" customHeight="false" outlineLevel="0" collapsed="false">
      <c r="A14" s="28" t="s">
        <v>190</v>
      </c>
      <c r="B14" s="48" t="n">
        <f aca="false">Premissas!$B$13</f>
        <v>0</v>
      </c>
      <c r="C14" s="48"/>
      <c r="D14" s="48"/>
      <c r="E14" s="48"/>
      <c r="F14" s="48"/>
    </row>
    <row r="15" customFormat="false" ht="15" hidden="false" customHeight="false" outlineLevel="0" collapsed="false">
      <c r="A15" s="28" t="s">
        <v>186</v>
      </c>
      <c r="B15" s="48" t="n">
        <f aca="false">Premissas!$B$10</f>
        <v>0</v>
      </c>
      <c r="C15" s="48"/>
      <c r="D15" s="48"/>
      <c r="E15" s="48"/>
      <c r="F15" s="48"/>
    </row>
    <row r="16" customFormat="false" ht="15" hidden="false" customHeight="false" outlineLevel="0" collapsed="false">
      <c r="A16" s="28" t="s">
        <v>191</v>
      </c>
      <c r="B16" s="48" t="n">
        <f aca="false">Premissas!$B$14</f>
        <v>0</v>
      </c>
      <c r="C16" s="48"/>
      <c r="D16" s="48"/>
      <c r="E16" s="48"/>
      <c r="F16" s="48"/>
    </row>
    <row r="18" customFormat="false" ht="15" hidden="false" customHeight="false" outlineLevel="0" collapsed="false">
      <c r="A18" s="40" t="s">
        <v>192</v>
      </c>
    </row>
    <row r="19" customFormat="false" ht="30" hidden="false" customHeight="true" outlineLevel="0" collapsed="false">
      <c r="A19" s="20" t="s">
        <v>193</v>
      </c>
      <c r="B19" s="20" t="s">
        <v>194</v>
      </c>
      <c r="C19" s="20" t="s">
        <v>195</v>
      </c>
      <c r="D19" s="20" t="s">
        <v>196</v>
      </c>
      <c r="E19" s="20" t="s">
        <v>197</v>
      </c>
      <c r="F19" s="20" t="s">
        <v>198</v>
      </c>
    </row>
    <row r="20" customFormat="false" ht="42" hidden="false" customHeight="true" outlineLevel="0" collapsed="false">
      <c r="A20" s="49" t="n">
        <f aca="false">'Custo por Linha'!A5</f>
        <v>1</v>
      </c>
      <c r="B20" s="50" t="n">
        <f aca="false">'Custo por Linha'!B5</f>
        <v>27160</v>
      </c>
      <c r="C20" s="51" t="s">
        <v>199</v>
      </c>
      <c r="D20" s="52" t="s">
        <v>200</v>
      </c>
      <c r="E20" s="53" t="n">
        <f aca="false">'Custo por Linha'!O5</f>
        <v>18.47</v>
      </c>
      <c r="F20" s="54" t="n">
        <f aca="false">B20*E20</f>
        <v>501645.2</v>
      </c>
    </row>
    <row r="21" customFormat="false" ht="42" hidden="false" customHeight="true" outlineLevel="0" collapsed="false">
      <c r="A21" s="49" t="n">
        <f aca="false">'Custo por Linha'!A6</f>
        <v>2</v>
      </c>
      <c r="B21" s="50" t="n">
        <f aca="false">'Custo por Linha'!B6</f>
        <v>21760</v>
      </c>
      <c r="C21" s="51" t="s">
        <v>199</v>
      </c>
      <c r="D21" s="52" t="s">
        <v>201</v>
      </c>
      <c r="E21" s="53" t="n">
        <f aca="false">'Custo por Linha'!O6</f>
        <v>16.87</v>
      </c>
      <c r="F21" s="54" t="n">
        <f aca="false">B21*E21</f>
        <v>367091.2</v>
      </c>
    </row>
    <row r="22" customFormat="false" ht="42" hidden="false" customHeight="true" outlineLevel="0" collapsed="false">
      <c r="A22" s="49" t="n">
        <f aca="false">'Custo por Linha'!A7</f>
        <v>3</v>
      </c>
      <c r="B22" s="50" t="n">
        <f aca="false">'Custo por Linha'!B7</f>
        <v>17520</v>
      </c>
      <c r="C22" s="51" t="s">
        <v>199</v>
      </c>
      <c r="D22" s="52" t="s">
        <v>202</v>
      </c>
      <c r="E22" s="53" t="n">
        <f aca="false">'Custo por Linha'!O7</f>
        <v>41.8</v>
      </c>
      <c r="F22" s="54" t="n">
        <f aca="false">B22*E22</f>
        <v>732336</v>
      </c>
    </row>
    <row r="23" customFormat="false" ht="42" hidden="false" customHeight="true" outlineLevel="0" collapsed="false">
      <c r="A23" s="49" t="n">
        <f aca="false">'Custo por Linha'!A8</f>
        <v>4</v>
      </c>
      <c r="B23" s="50" t="n">
        <f aca="false">'Custo por Linha'!B8</f>
        <v>29120</v>
      </c>
      <c r="C23" s="51" t="s">
        <v>199</v>
      </c>
      <c r="D23" s="52" t="s">
        <v>203</v>
      </c>
      <c r="E23" s="53" t="n">
        <f aca="false">'Custo por Linha'!O8</f>
        <v>17.45</v>
      </c>
      <c r="F23" s="54" t="n">
        <f aca="false">B23*E23</f>
        <v>508144</v>
      </c>
    </row>
    <row r="24" customFormat="false" ht="42" hidden="false" customHeight="true" outlineLevel="0" collapsed="false">
      <c r="A24" s="49" t="n">
        <f aca="false">'Custo por Linha'!A9</f>
        <v>5</v>
      </c>
      <c r="B24" s="50" t="n">
        <f aca="false">'Custo por Linha'!B9</f>
        <v>20160</v>
      </c>
      <c r="C24" s="51" t="s">
        <v>199</v>
      </c>
      <c r="D24" s="52" t="s">
        <v>204</v>
      </c>
      <c r="E24" s="53" t="n">
        <f aca="false">'Custo por Linha'!O9</f>
        <v>21.16</v>
      </c>
      <c r="F24" s="54" t="n">
        <f aca="false">B24*E24</f>
        <v>426585.6</v>
      </c>
    </row>
    <row r="25" customFormat="false" ht="42" hidden="false" customHeight="true" outlineLevel="0" collapsed="false">
      <c r="A25" s="49" t="n">
        <f aca="false">'Custo por Linha'!A10</f>
        <v>6</v>
      </c>
      <c r="B25" s="50" t="n">
        <f aca="false">'Custo por Linha'!B10</f>
        <v>32920</v>
      </c>
      <c r="C25" s="51" t="s">
        <v>199</v>
      </c>
      <c r="D25" s="52" t="s">
        <v>205</v>
      </c>
      <c r="E25" s="53" t="n">
        <f aca="false">'Custo por Linha'!O10</f>
        <v>16.2</v>
      </c>
      <c r="F25" s="54" t="n">
        <f aca="false">B25*E25</f>
        <v>533304</v>
      </c>
    </row>
    <row r="26" customFormat="false" ht="42" hidden="false" customHeight="true" outlineLevel="0" collapsed="false">
      <c r="A26" s="49" t="n">
        <f aca="false">'Custo por Linha'!A11</f>
        <v>7</v>
      </c>
      <c r="B26" s="50" t="n">
        <f aca="false">'Custo por Linha'!B11</f>
        <v>16720</v>
      </c>
      <c r="C26" s="51" t="s">
        <v>199</v>
      </c>
      <c r="D26" s="52" t="s">
        <v>206</v>
      </c>
      <c r="E26" s="53" t="n">
        <f aca="false">'Custo por Linha'!O11</f>
        <v>24.87</v>
      </c>
      <c r="F26" s="54" t="n">
        <f aca="false">B26*E26</f>
        <v>415826.4</v>
      </c>
    </row>
    <row r="27" customFormat="false" ht="42" hidden="false" customHeight="true" outlineLevel="0" collapsed="false">
      <c r="A27" s="49" t="n">
        <f aca="false">'Custo por Linha'!A12</f>
        <v>8</v>
      </c>
      <c r="B27" s="50" t="n">
        <f aca="false">'Custo por Linha'!B12</f>
        <v>14880</v>
      </c>
      <c r="C27" s="51" t="s">
        <v>199</v>
      </c>
      <c r="D27" s="52" t="s">
        <v>207</v>
      </c>
      <c r="E27" s="53" t="n">
        <f aca="false">'Custo por Linha'!O12</f>
        <v>26.9</v>
      </c>
      <c r="F27" s="54" t="n">
        <f aca="false">B27*E27</f>
        <v>400272</v>
      </c>
    </row>
    <row r="28" customFormat="false" ht="42" hidden="false" customHeight="true" outlineLevel="0" collapsed="false">
      <c r="A28" s="49" t="n">
        <f aca="false">'Custo por Linha'!A13</f>
        <v>9</v>
      </c>
      <c r="B28" s="50" t="n">
        <f aca="false">'Custo por Linha'!B13</f>
        <v>11120</v>
      </c>
      <c r="C28" s="51" t="s">
        <v>199</v>
      </c>
      <c r="D28" s="52" t="s">
        <v>208</v>
      </c>
      <c r="E28" s="53" t="n">
        <f aca="false">'Custo por Linha'!O13</f>
        <v>33.62</v>
      </c>
      <c r="F28" s="54" t="n">
        <f aca="false">B28*E28</f>
        <v>373854.4</v>
      </c>
    </row>
    <row r="29" customFormat="false" ht="15" hidden="false" customHeight="false" outlineLevel="0" collapsed="false">
      <c r="A29" s="55"/>
      <c r="B29" s="55"/>
      <c r="C29" s="55"/>
      <c r="D29" s="56" t="s">
        <v>209</v>
      </c>
      <c r="E29" s="55"/>
      <c r="F29" s="27" t="n">
        <f aca="false">SUM(F20:F28)</f>
        <v>4259058.8</v>
      </c>
    </row>
    <row r="31" customFormat="false" ht="15" hidden="false" customHeight="true" outlineLevel="0" collapsed="false">
      <c r="A31" s="47" t="s">
        <v>210</v>
      </c>
      <c r="B31" s="47"/>
      <c r="C31" s="47"/>
      <c r="D31" s="47"/>
      <c r="E31" s="47"/>
      <c r="F31" s="47"/>
    </row>
    <row r="32" customFormat="false" ht="15" hidden="false" customHeight="true" outlineLevel="0" collapsed="false">
      <c r="A32" s="47" t="s">
        <v>211</v>
      </c>
      <c r="B32" s="47"/>
      <c r="C32" s="47"/>
      <c r="D32" s="47"/>
      <c r="E32" s="47"/>
      <c r="F32" s="47"/>
    </row>
    <row r="33" customFormat="false" ht="42" hidden="false" customHeight="true" outlineLevel="0" collapsed="false">
      <c r="A33" s="47" t="s">
        <v>212</v>
      </c>
      <c r="B33" s="47"/>
      <c r="C33" s="47"/>
      <c r="D33" s="47"/>
      <c r="E33" s="47"/>
      <c r="F33" s="47"/>
    </row>
    <row r="34" customFormat="false" ht="42" hidden="false" customHeight="true" outlineLevel="0" collapsed="false">
      <c r="A34" s="47" t="s">
        <v>213</v>
      </c>
      <c r="B34" s="47"/>
      <c r="C34" s="47"/>
      <c r="D34" s="47"/>
      <c r="E34" s="47"/>
      <c r="F34" s="47"/>
    </row>
    <row r="35" customFormat="false" ht="15" hidden="false" customHeight="true" outlineLevel="0" collapsed="false">
      <c r="A35" s="47" t="s">
        <v>214</v>
      </c>
      <c r="B35" s="47"/>
      <c r="C35" s="47"/>
      <c r="D35" s="47"/>
      <c r="E35" s="47"/>
      <c r="F35" s="47"/>
    </row>
    <row r="36" customFormat="false" ht="42" hidden="false" customHeight="true" outlineLevel="0" collapsed="false">
      <c r="A36" s="47" t="s">
        <v>215</v>
      </c>
      <c r="B36" s="47"/>
      <c r="C36" s="47"/>
      <c r="D36" s="47"/>
      <c r="E36" s="47"/>
      <c r="F36" s="47"/>
    </row>
    <row r="37" customFormat="false" ht="42" hidden="false" customHeight="true" outlineLevel="0" collapsed="false">
      <c r="A37" s="47" t="s">
        <v>216</v>
      </c>
      <c r="B37" s="47"/>
      <c r="C37" s="47"/>
      <c r="D37" s="47"/>
      <c r="E37" s="47"/>
      <c r="F37" s="47"/>
    </row>
    <row r="39" customFormat="false" ht="15" hidden="false" customHeight="false" outlineLevel="0" collapsed="false">
      <c r="A39" s="57" t="str">
        <f aca="false">Premissas!$B$15</f>
        <v>São Paulo, 28 de setembro de 2026</v>
      </c>
      <c r="B39" s="57"/>
      <c r="C39" s="57"/>
      <c r="D39" s="57"/>
      <c r="E39" s="57"/>
      <c r="F39" s="57"/>
    </row>
    <row r="41" customFormat="false" ht="15" hidden="false" customHeight="false" outlineLevel="0" collapsed="false">
      <c r="A41" s="58" t="s">
        <v>217</v>
      </c>
      <c r="B41" s="58"/>
      <c r="C41" s="58"/>
      <c r="D41" s="58"/>
      <c r="E41" s="58"/>
      <c r="F41" s="58"/>
    </row>
    <row r="42" customFormat="false" ht="15" hidden="false" customHeight="false" outlineLevel="0" collapsed="false">
      <c r="A42" s="57" t="str">
        <f aca="false">Premissas!$B$11&amp;" — "&amp;Premissas!$B$14</f>
        <v> — </v>
      </c>
      <c r="B42" s="57"/>
      <c r="C42" s="57"/>
      <c r="D42" s="57"/>
      <c r="E42" s="57"/>
      <c r="F42" s="57"/>
    </row>
    <row r="43" customFormat="false" ht="15" hidden="false" customHeight="false" outlineLevel="0" collapsed="false">
      <c r="A43" s="57" t="str">
        <f aca="false">Premissas!$B$6&amp;" — CNPJ "&amp;Premissas!$B$8</f>
        <v>AZUL TRANSPORTES E TURISMO LTDA — CNPJ 10.764.533/0001-01</v>
      </c>
      <c r="B43" s="57"/>
      <c r="C43" s="57"/>
      <c r="D43" s="57"/>
      <c r="E43" s="57"/>
      <c r="F43" s="57"/>
    </row>
  </sheetData>
  <mergeCells count="23">
    <mergeCell ref="A1:F1"/>
    <mergeCell ref="A2:F2"/>
    <mergeCell ref="B5:F5"/>
    <mergeCell ref="B6:F6"/>
    <mergeCell ref="B7:F7"/>
    <mergeCell ref="B8:F8"/>
    <mergeCell ref="B9:F9"/>
    <mergeCell ref="B12:F12"/>
    <mergeCell ref="B13:F13"/>
    <mergeCell ref="B14:F14"/>
    <mergeCell ref="B15:F15"/>
    <mergeCell ref="B16:F16"/>
    <mergeCell ref="A31:F31"/>
    <mergeCell ref="A32:F32"/>
    <mergeCell ref="A33:F33"/>
    <mergeCell ref="A34:F34"/>
    <mergeCell ref="A35:F35"/>
    <mergeCell ref="A36:F36"/>
    <mergeCell ref="A37:F37"/>
    <mergeCell ref="A39:F39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2026-09-27T22:57:51Z</dcterms:created>
  <dc:creator>openpyxl</dc:creator>
  <dc:description/>
  <dc:language>en-US</dc:language>
  <cp:lastModifiedBy/>
  <dcterms:modified xsi:type="dcterms:W3CDTF">2026-09-27T22:57:51Z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